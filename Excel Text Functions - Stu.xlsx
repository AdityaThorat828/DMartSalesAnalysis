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4B189432-2CD6-4438-BF2F-077971295B4D}" xr6:coauthVersionLast="47" xr6:coauthVersionMax="47" xr10:uidLastSave="{00000000-0000-0000-0000-000000000000}"/>
  <bookViews>
    <workbookView xWindow="0" yWindow="0" windowWidth="23040" windowHeight="12960" activeTab="1" xr2:uid="{DD48EB59-D422-440A-B3D8-B7024E933AC0}"/>
  </bookViews>
  <sheets>
    <sheet name="Text to Columns" sheetId="4" r:id="rId1"/>
    <sheet name="Text Functions" sheetId="3" r:id="rId2"/>
  </sheets>
  <externalReferences>
    <externalReference r:id="rId3"/>
  </externalReferences>
  <definedNames>
    <definedName name="comm_pct">[1]Revised!$E$8:$E$13</definedName>
    <definedName name="incr">[1]Calculations!$B$3</definedName>
    <definedName name="sales_brackets">[1]Revised!$B$8:$B$13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3" l="1"/>
  <c r="W5" i="3"/>
  <c r="Y4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" i="3"/>
  <c r="W3" i="3"/>
  <c r="W4" i="3"/>
  <c r="V5" i="3"/>
  <c r="V4" i="3"/>
  <c r="U3" i="3"/>
  <c r="T3" i="3"/>
  <c r="S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Q3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19" i="3"/>
  <c r="F19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3" i="3"/>
  <c r="O3" i="3" s="1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8" i="3"/>
  <c r="F9" i="3"/>
  <c r="F10" i="3"/>
  <c r="F11" i="3"/>
  <c r="F12" i="3"/>
  <c r="F13" i="3"/>
  <c r="F14" i="3"/>
  <c r="F15" i="3"/>
  <c r="F16" i="3"/>
  <c r="F17" i="3"/>
  <c r="F18" i="3"/>
  <c r="F7" i="3"/>
  <c r="F6" i="3"/>
  <c r="F4" i="3"/>
  <c r="F5" i="3"/>
  <c r="F3" i="3"/>
  <c r="R3" i="3"/>
  <c r="P3" i="3"/>
</calcChain>
</file>

<file path=xl/sharedStrings.xml><?xml version="1.0" encoding="utf-8"?>
<sst xmlns="http://schemas.openxmlformats.org/spreadsheetml/2006/main" count="533" uniqueCount="277">
  <si>
    <t>City, State, Zip Code</t>
  </si>
  <si>
    <t>Population</t>
  </si>
  <si>
    <t>Rank</t>
  </si>
  <si>
    <t>LOWER</t>
  </si>
  <si>
    <t>UPPER</t>
  </si>
  <si>
    <t>PROPER</t>
  </si>
  <si>
    <t>LEFT</t>
  </si>
  <si>
    <t>RIGHT</t>
  </si>
  <si>
    <t>LEN</t>
  </si>
  <si>
    <t>TRIM</t>
  </si>
  <si>
    <t>&amp;</t>
  </si>
  <si>
    <t>CONCAT</t>
  </si>
  <si>
    <t>VALUE</t>
  </si>
  <si>
    <t>VALUE+RIGHT</t>
  </si>
  <si>
    <t>FIND</t>
  </si>
  <si>
    <t>SEARCH</t>
  </si>
  <si>
    <t>REPLACE</t>
  </si>
  <si>
    <t>SUBSTITUTE</t>
  </si>
  <si>
    <t>MID</t>
  </si>
  <si>
    <t>City</t>
  </si>
  <si>
    <t>State</t>
  </si>
  <si>
    <t>Zip</t>
  </si>
  <si>
    <t>Birmingham, Alabama  35203</t>
  </si>
  <si>
    <t>Huntsville, Alabama  35813</t>
  </si>
  <si>
    <t>Mobile, Alabama  36601</t>
  </si>
  <si>
    <t>Montgomery, Alabama  36119</t>
  </si>
  <si>
    <t>Anchorage, Alaska  99599</t>
  </si>
  <si>
    <t>Chandler, Arizona  85225</t>
  </si>
  <si>
    <t>Gilbert, Arizona  85296</t>
  </si>
  <si>
    <t>Glendale, Arizona  85302</t>
  </si>
  <si>
    <t>Mesa, Arizona  85201</t>
  </si>
  <si>
    <t>Peoria, Arizona  85381</t>
  </si>
  <si>
    <t>Phoenix, Arizona  85026</t>
  </si>
  <si>
    <t>Scottsdale, Arizona  85251</t>
  </si>
  <si>
    <t>Tempe, Arizona  85282</t>
  </si>
  <si>
    <t>Tucson, Arizona  85726</t>
  </si>
  <si>
    <t>Little Rock, Arkansas  72202</t>
  </si>
  <si>
    <t>Anaheim, California  92803</t>
  </si>
  <si>
    <t>Antioch, California  94509</t>
  </si>
  <si>
    <t>Bakersfield, California  93380</t>
  </si>
  <si>
    <t>Berkeley, California  94704</t>
  </si>
  <si>
    <t>Burbank, California  91505</t>
  </si>
  <si>
    <t>Chula Vista, California  91910</t>
  </si>
  <si>
    <t>Concord, California  94520</t>
  </si>
  <si>
    <t>Corona, California  91718</t>
  </si>
  <si>
    <t>Costa Mesa, California  92628</t>
  </si>
  <si>
    <t>Daly City, California  94015</t>
  </si>
  <si>
    <t>Downey, California  90241</t>
  </si>
  <si>
    <t>El Monte, California  91734</t>
  </si>
  <si>
    <t>Elk Grove, California  95624</t>
  </si>
  <si>
    <t>Escondido, California  92025</t>
  </si>
  <si>
    <t>Fairfield, California  94533</t>
  </si>
  <si>
    <t>Fontana, California  92335</t>
  </si>
  <si>
    <t>Fremont, California  94537</t>
  </si>
  <si>
    <t>Fresno, California  93706</t>
  </si>
  <si>
    <t>Fullerton, California  92834</t>
  </si>
  <si>
    <t>Garden Grove, California  92842</t>
  </si>
  <si>
    <t>Glendale, California  91205</t>
  </si>
  <si>
    <t>Hayward, California  94544</t>
  </si>
  <si>
    <t>Huntington Beach, California  92647</t>
  </si>
  <si>
    <t>Inglewood, California  90301</t>
  </si>
  <si>
    <t>Irvine, California  92619</t>
  </si>
  <si>
    <t>Lancaster, California  93534</t>
  </si>
  <si>
    <t>Long Beach, California  90802</t>
  </si>
  <si>
    <t>Los Angeles, California  90052</t>
  </si>
  <si>
    <t>Modesto, California  95350</t>
  </si>
  <si>
    <t>Moreno Valley, California  92553</t>
  </si>
  <si>
    <t>Norwalk, California  90650</t>
  </si>
  <si>
    <t>Oakland, California  94612</t>
  </si>
  <si>
    <t>Oceanside, California  92054</t>
  </si>
  <si>
    <t>Ontario, California  91761</t>
  </si>
  <si>
    <t>Orange, California  92863</t>
  </si>
  <si>
    <t>Oxnard, California  93030</t>
  </si>
  <si>
    <t>Palmdale, California  93550</t>
  </si>
  <si>
    <t>Pasadena, California  91103</t>
  </si>
  <si>
    <t>Pomona, California  91769</t>
  </si>
  <si>
    <t>Rancho Cucamonga, California  91729</t>
  </si>
  <si>
    <t>Richmond, California  94801</t>
  </si>
  <si>
    <t>Riverside, California  92507</t>
  </si>
  <si>
    <t>Roseville, California  95661</t>
  </si>
  <si>
    <t>Sacramento, California  95813</t>
  </si>
  <si>
    <t>Salinas, California  93907</t>
  </si>
  <si>
    <t>San Bernardino, California  92401</t>
  </si>
  <si>
    <t>Ventura, California  93001</t>
  </si>
  <si>
    <t>San Diego, California  92199</t>
  </si>
  <si>
    <t>San Francisco, California  94188</t>
  </si>
  <si>
    <t>San Jose, California  95101</t>
  </si>
  <si>
    <t>Santa Ana, California  92711</t>
  </si>
  <si>
    <t>Santa Clara, California  95050</t>
  </si>
  <si>
    <t>Santa Clarita, California  91355</t>
  </si>
  <si>
    <t>Santa Rosa, California  95402</t>
  </si>
  <si>
    <t>Simi Valley, California  93065</t>
  </si>
  <si>
    <t>Stockton, California  95208</t>
  </si>
  <si>
    <t>Sunnyvale, California  94086</t>
  </si>
  <si>
    <t>Thousand Oaks, California  91362</t>
  </si>
  <si>
    <t>Torrance, California  90503</t>
  </si>
  <si>
    <t>Vallejo, California  94590</t>
  </si>
  <si>
    <t>Visalia, California  93277</t>
  </si>
  <si>
    <t>West Covina, California  91793</t>
  </si>
  <si>
    <t>Arvada, Colorado  80004</t>
  </si>
  <si>
    <t>Aurora, Colorado  80017</t>
  </si>
  <si>
    <t>Colorado Springs, Colorado  80903</t>
  </si>
  <si>
    <t>Denver, Colorado  80202</t>
  </si>
  <si>
    <t>Fort Collins, Colorado  80525</t>
  </si>
  <si>
    <t>Lakewood, Colorado  80202</t>
  </si>
  <si>
    <t>Pueblo, Colorado  81003</t>
  </si>
  <si>
    <t>Thornton, Colorado  80221</t>
  </si>
  <si>
    <t>Westminster, Colorado  80030</t>
  </si>
  <si>
    <t>Bridgeport, Connecticut  06602</t>
  </si>
  <si>
    <t>Hartford, Connecticut  06101</t>
  </si>
  <si>
    <t>New Haven, Connecticut  06511</t>
  </si>
  <si>
    <t>Stamford, Connecticut  06904</t>
  </si>
  <si>
    <t>Waterbury, Connecticut  06702</t>
  </si>
  <si>
    <t>Washington, D.C.  20090</t>
  </si>
  <si>
    <t>Cape Coral, Florida  33909</t>
  </si>
  <si>
    <t>Clearwater, Florida  33990</t>
  </si>
  <si>
    <t>Coral Springs, Florida  33075</t>
  </si>
  <si>
    <t>Fort Lauderdale, Florida  33310</t>
  </si>
  <si>
    <t>Gainesville, Florida  32601</t>
  </si>
  <si>
    <t>Hialeah, Florida  33010</t>
  </si>
  <si>
    <t>Hollywood, Florida  33022</t>
  </si>
  <si>
    <t>Jacksonville, Florida  32203</t>
  </si>
  <si>
    <t>Miami, Florida  33152</t>
  </si>
  <si>
    <t>Miramar, Florida  33023</t>
  </si>
  <si>
    <t>Orlando, Florida  32802</t>
  </si>
  <si>
    <t>Pembroke Pines, Florida  33024</t>
  </si>
  <si>
    <t>Pompano Beach, Florida  33060</t>
  </si>
  <si>
    <t>Port St. Lucie, Florida  34952</t>
  </si>
  <si>
    <t>St. Petersburg, Florida  33730</t>
  </si>
  <si>
    <t>Tallahassee, Florida  32301</t>
  </si>
  <si>
    <t>Tampa, Florida  33630</t>
  </si>
  <si>
    <t>Athens, Georgia  30608</t>
  </si>
  <si>
    <t>Atlanta, Georgia  30304</t>
  </si>
  <si>
    <t>Augusta, Georgia  30901</t>
  </si>
  <si>
    <t>Columbus, Georgia  31908</t>
  </si>
  <si>
    <t>Savannah, Georgia  31402</t>
  </si>
  <si>
    <t>Honolulu, Hawaii  96820</t>
  </si>
  <si>
    <t>Boise, Idaho  83708</t>
  </si>
  <si>
    <t>Aurora, Illinois  60505</t>
  </si>
  <si>
    <t>Chicago, Illinois  60607</t>
  </si>
  <si>
    <t>Joliet, Illinois  60436</t>
  </si>
  <si>
    <t>Naperville, Illinois  60540</t>
  </si>
  <si>
    <t>Peoria, Illinois  61601</t>
  </si>
  <si>
    <t>Rockford, Illinois  61125</t>
  </si>
  <si>
    <t>Springfield, Illinois  62703</t>
  </si>
  <si>
    <t>Evansville, Indiana  47708</t>
  </si>
  <si>
    <t>Fort Wayne, Indiana  46802</t>
  </si>
  <si>
    <t>Indianapolis, Indiana  46206</t>
  </si>
  <si>
    <t>South Bend, Indiana  46624</t>
  </si>
  <si>
    <t>Cedar Rapids, Iowa  52401</t>
  </si>
  <si>
    <t>Des Moines, Iowa  50318</t>
  </si>
  <si>
    <t>Kansas City, Kansas  66106</t>
  </si>
  <si>
    <t>Olathe, Kansas  66051</t>
  </si>
  <si>
    <t>Overland Park, Kansas  66204</t>
  </si>
  <si>
    <t>Topeka, Kansas  66603</t>
  </si>
  <si>
    <t>Wichita, Kansas  67276</t>
  </si>
  <si>
    <t>Lexington, Kentucky  40511</t>
  </si>
  <si>
    <t>Louisville, Kentucky  40231</t>
  </si>
  <si>
    <t>Baton Rouge, Louisiana  70826</t>
  </si>
  <si>
    <t>Lafayette, Louisiana  70509</t>
  </si>
  <si>
    <t>New Orleans, Louisiana  70113</t>
  </si>
  <si>
    <t>Shreveport, Louisiana  71102</t>
  </si>
  <si>
    <t>Baltimore, Maryland  21202</t>
  </si>
  <si>
    <t>Boston, Massachusetts  02205</t>
  </si>
  <si>
    <t>Cambridge, Massachusetts  02139</t>
  </si>
  <si>
    <t>Lowell, Massachusetts  01853</t>
  </si>
  <si>
    <t>Springfield, Massachusetts  01101</t>
  </si>
  <si>
    <t>Worcester, Massachusetts  01613</t>
  </si>
  <si>
    <t>Ann Arbor, Michigan  48104</t>
  </si>
  <si>
    <t>Detroit, Michigan  48233</t>
  </si>
  <si>
    <t>Flint, Michigan  48502</t>
  </si>
  <si>
    <t>Grand Rapids, Michigan  49501</t>
  </si>
  <si>
    <t>Lansing, Michigan  48924</t>
  </si>
  <si>
    <t>Sterling Heights, Michigan  48311</t>
  </si>
  <si>
    <t>Warren, Michigan  48090</t>
  </si>
  <si>
    <t>Minneapolis, Minnesota  55401</t>
  </si>
  <si>
    <t>St. Paul, Minnesota  55109</t>
  </si>
  <si>
    <t>Jackson, Mississippi  39205</t>
  </si>
  <si>
    <t>Independence, Missouri  64052</t>
  </si>
  <si>
    <t>Kansas City, Missouri  64108</t>
  </si>
  <si>
    <t>Springfield, Missouri  65801</t>
  </si>
  <si>
    <t>St. Louis, Missouri  63155</t>
  </si>
  <si>
    <t>Lincoln, Nebraska  68501</t>
  </si>
  <si>
    <t>Omaha, Nebraska  68108</t>
  </si>
  <si>
    <t>Henderson, Nevada  89015</t>
  </si>
  <si>
    <t>Las Vegas, Nevada  89199</t>
  </si>
  <si>
    <t>North Las Vegas, Nevada  89030</t>
  </si>
  <si>
    <t>Reno, Nevada  89510</t>
  </si>
  <si>
    <t>Manchester, New Hampshire  03103</t>
  </si>
  <si>
    <t>Elizabeth, New Jersey  07208</t>
  </si>
  <si>
    <t>Jersey City, New Jersey  07302</t>
  </si>
  <si>
    <t>Newark, New Jersey  07102</t>
  </si>
  <si>
    <t>Paterson, New Jersey  07510</t>
  </si>
  <si>
    <t>Albuquerque, New Mexico  87101</t>
  </si>
  <si>
    <t>Buffalo, New York   14240</t>
  </si>
  <si>
    <t>New York, New York   10199</t>
  </si>
  <si>
    <t>Rochester, New York   14692</t>
  </si>
  <si>
    <t>Syracuse, New York   13220</t>
  </si>
  <si>
    <t>Yonkers, New York   10701</t>
  </si>
  <si>
    <t>Cary, North Carolina  27511</t>
  </si>
  <si>
    <t>Charlotte, North Carolina  28228</t>
  </si>
  <si>
    <t>Durham, North Carolina  27701</t>
  </si>
  <si>
    <t>Fayetteville, North Carolina  28302</t>
  </si>
  <si>
    <t>Greensboro, North Carolina  27420</t>
  </si>
  <si>
    <t>Raleigh, North Carolina  27613</t>
  </si>
  <si>
    <t>Winston, North Carolina  27102</t>
  </si>
  <si>
    <t>Akron, Ohio  44309</t>
  </si>
  <si>
    <t>Cincinnati, Ohio  45225</t>
  </si>
  <si>
    <t>Cleveland, Ohio  44101</t>
  </si>
  <si>
    <t>Columbus, Ohio  43216</t>
  </si>
  <si>
    <t>Dayton, Ohio  45401</t>
  </si>
  <si>
    <t>Toledo, Ohio  43601</t>
  </si>
  <si>
    <t>Norman, Oklahoma  73019</t>
  </si>
  <si>
    <t>Oklahoma City, Oklahoma  73125</t>
  </si>
  <si>
    <t>Tulsa, Oklahoma  74107</t>
  </si>
  <si>
    <t>Eugene, Oregon  97401</t>
  </si>
  <si>
    <t>Portland, Oregon  97208</t>
  </si>
  <si>
    <t>Salem, Oregon  97309</t>
  </si>
  <si>
    <t>Allentown, Pennsylvania  18101</t>
  </si>
  <si>
    <t>Erie, Pennsylvania  16515</t>
  </si>
  <si>
    <t>Philadelphia, Pennsylvania  19104</t>
  </si>
  <si>
    <t>Pittsburgh, Pennsylvania  15290</t>
  </si>
  <si>
    <t>Providence, Rhode Island  02904</t>
  </si>
  <si>
    <t>Charleston, South Carolina  29401</t>
  </si>
  <si>
    <t>Columbia, South Carolina  29201</t>
  </si>
  <si>
    <t>Sioux Falls, South Dakota  57104</t>
  </si>
  <si>
    <t>Chattanooga, Tennessee  37421</t>
  </si>
  <si>
    <t>Clarksville, Tennessee  37043</t>
  </si>
  <si>
    <t>Knoxville, Tennessee  37950</t>
  </si>
  <si>
    <t>Memphis, Tennessee  38101</t>
  </si>
  <si>
    <t>Nashville, Tennessee  37230</t>
  </si>
  <si>
    <t>Abilene, Texas  79604</t>
  </si>
  <si>
    <t>Amarillo, Texas  79120</t>
  </si>
  <si>
    <t>Arlington, Texas  76004</t>
  </si>
  <si>
    <t>Austin, Texas  78710</t>
  </si>
  <si>
    <t>Beaumont, Texas  77707</t>
  </si>
  <si>
    <t>Brownsville, Texas  78520</t>
  </si>
  <si>
    <t>Carrollton, Texas  75006</t>
  </si>
  <si>
    <t>Corpus Christi, Texas  78469</t>
  </si>
  <si>
    <t>Dallas, Texas  75260</t>
  </si>
  <si>
    <t>Denton, Texas  76201</t>
  </si>
  <si>
    <t>El Paso, Texas  79910</t>
  </si>
  <si>
    <t>Fort Worth, Texas  76161</t>
  </si>
  <si>
    <t>Garland, Texas  75040</t>
  </si>
  <si>
    <t>Grand Prairie, Texas  75051</t>
  </si>
  <si>
    <t>Houston, Texas  77201</t>
  </si>
  <si>
    <t>Irving, Texas  75061</t>
  </si>
  <si>
    <t>Killeen, Texas  76541</t>
  </si>
  <si>
    <t>Laredo, Texas  78041</t>
  </si>
  <si>
    <t>Lubbock, Texas  79402</t>
  </si>
  <si>
    <t>McAllen, Texas  78501</t>
  </si>
  <si>
    <t>Mesquite, Texas  75149</t>
  </si>
  <si>
    <t>Pasadena, Texas  77501</t>
  </si>
  <si>
    <t>Plano, Texas  75074</t>
  </si>
  <si>
    <t>San Antonio, Texas  78284</t>
  </si>
  <si>
    <t>Waco, Texas  76702</t>
  </si>
  <si>
    <t>Salt Lake City, Utah  84199</t>
  </si>
  <si>
    <t>West Valley City, Utah  84199</t>
  </si>
  <si>
    <t>Alexandria, Virginia  22314</t>
  </si>
  <si>
    <t>Arlington CDP, Virginia  23320</t>
  </si>
  <si>
    <t>Chesapeake, Virginia  23670</t>
  </si>
  <si>
    <t>Hampton, Virginia  23607</t>
  </si>
  <si>
    <t>Newport News, Virginia  23501</t>
  </si>
  <si>
    <t>Norfolk, Virginia  23707</t>
  </si>
  <si>
    <t>Portsmouth, Virginia  23702</t>
  </si>
  <si>
    <t>Richmond, Virginia  23232</t>
  </si>
  <si>
    <t>Virginia Beach, Virginia  23450</t>
  </si>
  <si>
    <t>Bellevue, Washington  98009</t>
  </si>
  <si>
    <t>Seattle, Washington  98108</t>
  </si>
  <si>
    <t>Spokane, Washington  99201</t>
  </si>
  <si>
    <t>Tacoma, Washington  98413</t>
  </si>
  <si>
    <t>Vancouver, Washington  98668</t>
  </si>
  <si>
    <t>Green Bay, Wisconsin  54303</t>
  </si>
  <si>
    <t>Madison, Wisconsin  53714</t>
  </si>
  <si>
    <t>Milwaukee, Wisconsin  53203</t>
  </si>
  <si>
    <t>TEXT JOIN</t>
  </si>
  <si>
    <t>CRT+E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</si>
</sst>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yui-my.sharepoint.com/personal/kbp209_byui_edu/Documents/BA215/Commission%20Model%20-%20k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vised"/>
      <sheetName val="Calculations"/>
      <sheetName val="Plan"/>
    </sheetNames>
    <sheetDataSet>
      <sheetData sheetId="0">
        <row r="4">
          <cell r="J4" t="str">
            <v>Commissions</v>
          </cell>
        </row>
      </sheetData>
      <sheetData sheetId="1">
        <row r="8">
          <cell r="B8">
            <v>0</v>
          </cell>
          <cell r="E8">
            <v>0.01</v>
          </cell>
        </row>
        <row r="9">
          <cell r="B9">
            <v>600000</v>
          </cell>
          <cell r="E9">
            <v>1.4999999999999999E-2</v>
          </cell>
        </row>
        <row r="10">
          <cell r="B10">
            <v>750000</v>
          </cell>
          <cell r="E10">
            <v>0.02</v>
          </cell>
        </row>
        <row r="11">
          <cell r="B11">
            <v>1000000</v>
          </cell>
          <cell r="E11">
            <v>2.5000000000000001E-2</v>
          </cell>
        </row>
        <row r="12">
          <cell r="B12">
            <v>1500000</v>
          </cell>
          <cell r="E12">
            <v>0.03</v>
          </cell>
        </row>
        <row r="13">
          <cell r="B13">
            <v>2000000</v>
          </cell>
          <cell r="E13">
            <v>0.05</v>
          </cell>
        </row>
      </sheetData>
      <sheetData sheetId="2">
        <row r="3">
          <cell r="B3">
            <v>500000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09E7-4C3C-4662-93E5-538B26B063F3}">
  <sheetPr codeName="Sheet21"/>
  <dimension ref="B2:D255"/>
  <sheetViews>
    <sheetView workbookViewId="0"/>
  </sheetViews>
  <sheetFormatPr defaultColWidth="10.59765625" defaultRowHeight="20.100000000000001" customHeight="1" x14ac:dyDescent="0.25"/>
  <cols>
    <col min="1" max="1" width="10.59765625" style="1"/>
    <col min="2" max="2" width="32.19921875" style="1" bestFit="1" customWidth="1"/>
    <col min="3" max="16384" width="10.59765625" style="1"/>
  </cols>
  <sheetData>
    <row r="2" spans="2:4" ht="20.100000000000001" customHeight="1" x14ac:dyDescent="0.25">
      <c r="B2" s="1" t="s">
        <v>0</v>
      </c>
      <c r="C2" s="1" t="s">
        <v>1</v>
      </c>
      <c r="D2" s="1" t="s">
        <v>2</v>
      </c>
    </row>
    <row r="3" spans="2:4" ht="20.100000000000001" customHeight="1" x14ac:dyDescent="0.25">
      <c r="B3" s="1" t="s">
        <v>22</v>
      </c>
      <c r="C3" s="1">
        <v>231483</v>
      </c>
      <c r="D3" s="1">
        <v>79</v>
      </c>
    </row>
    <row r="4" spans="2:4" ht="20.100000000000001" customHeight="1" x14ac:dyDescent="0.25">
      <c r="B4" s="1" t="s">
        <v>23</v>
      </c>
      <c r="C4" s="1">
        <v>166313</v>
      </c>
      <c r="D4" s="1">
        <v>134</v>
      </c>
    </row>
    <row r="5" spans="2:4" ht="20.100000000000001" customHeight="1" x14ac:dyDescent="0.25">
      <c r="B5" s="1" t="s">
        <v>24</v>
      </c>
      <c r="C5" s="1">
        <v>191544</v>
      </c>
      <c r="D5" s="1">
        <v>112</v>
      </c>
    </row>
    <row r="6" spans="2:4" ht="20.100000000000001" customHeight="1" x14ac:dyDescent="0.25">
      <c r="B6" s="1" t="s">
        <v>25</v>
      </c>
      <c r="C6" s="1">
        <v>200127</v>
      </c>
      <c r="D6" s="1">
        <v>97</v>
      </c>
    </row>
    <row r="7" spans="2:4" ht="20.100000000000001" customHeight="1" x14ac:dyDescent="0.25">
      <c r="B7" s="1" t="s">
        <v>26</v>
      </c>
      <c r="C7" s="1">
        <v>275043</v>
      </c>
      <c r="D7" s="1">
        <v>68</v>
      </c>
    </row>
    <row r="8" spans="2:4" ht="20.100000000000001" customHeight="1" x14ac:dyDescent="0.25">
      <c r="B8" s="1" t="s">
        <v>27</v>
      </c>
      <c r="C8" s="1">
        <v>234939</v>
      </c>
      <c r="D8" s="1">
        <v>75</v>
      </c>
    </row>
    <row r="9" spans="2:4" ht="20.100000000000001" customHeight="1" x14ac:dyDescent="0.25">
      <c r="B9" s="1" t="s">
        <v>28</v>
      </c>
      <c r="C9" s="1">
        <v>173989</v>
      </c>
      <c r="D9" s="1">
        <v>127</v>
      </c>
    </row>
    <row r="10" spans="2:4" ht="20.100000000000001" customHeight="1" x14ac:dyDescent="0.25">
      <c r="B10" s="1" t="s">
        <v>29</v>
      </c>
      <c r="C10" s="1">
        <v>239435</v>
      </c>
      <c r="D10" s="1">
        <v>73</v>
      </c>
    </row>
    <row r="11" spans="2:4" ht="20.100000000000001" customHeight="1" x14ac:dyDescent="0.25">
      <c r="B11" s="1" t="s">
        <v>30</v>
      </c>
      <c r="C11" s="1">
        <v>442780</v>
      </c>
      <c r="D11" s="1">
        <v>41</v>
      </c>
    </row>
    <row r="12" spans="2:4" ht="20.100000000000001" customHeight="1" x14ac:dyDescent="0.25">
      <c r="B12" s="1" t="s">
        <v>31</v>
      </c>
      <c r="C12" s="1">
        <v>138200</v>
      </c>
      <c r="D12" s="1">
        <v>169</v>
      </c>
    </row>
    <row r="13" spans="2:4" ht="20.100000000000001" customHeight="1" x14ac:dyDescent="0.25">
      <c r="B13" s="1" t="s">
        <v>32</v>
      </c>
      <c r="C13" s="1">
        <v>1461575</v>
      </c>
      <c r="D13" s="1">
        <v>6</v>
      </c>
    </row>
    <row r="14" spans="2:4" ht="20.100000000000001" customHeight="1" x14ac:dyDescent="0.25">
      <c r="B14" s="1" t="s">
        <v>33</v>
      </c>
      <c r="C14" s="1">
        <v>226013</v>
      </c>
      <c r="D14" s="1">
        <v>80</v>
      </c>
    </row>
    <row r="15" spans="2:4" ht="20.100000000000001" customHeight="1" x14ac:dyDescent="0.25">
      <c r="B15" s="1" t="s">
        <v>34</v>
      </c>
      <c r="C15" s="1">
        <v>161143</v>
      </c>
      <c r="D15" s="1">
        <v>139</v>
      </c>
    </row>
    <row r="16" spans="2:4" ht="20.100000000000001" customHeight="1" x14ac:dyDescent="0.25">
      <c r="B16" s="1" t="s">
        <v>35</v>
      </c>
      <c r="C16" s="1">
        <v>515526</v>
      </c>
      <c r="D16" s="1">
        <v>32</v>
      </c>
    </row>
    <row r="17" spans="2:4" ht="20.100000000000001" customHeight="1" x14ac:dyDescent="0.25">
      <c r="B17" s="1" t="s">
        <v>36</v>
      </c>
      <c r="C17" s="1">
        <v>184564</v>
      </c>
      <c r="D17" s="1">
        <v>116</v>
      </c>
    </row>
    <row r="18" spans="2:4" ht="20.100000000000001" customHeight="1" x14ac:dyDescent="0.25">
      <c r="B18" s="1" t="s">
        <v>37</v>
      </c>
      <c r="C18" s="1">
        <v>331804</v>
      </c>
      <c r="D18" s="1">
        <v>55</v>
      </c>
    </row>
    <row r="19" spans="2:4" ht="20.100000000000001" customHeight="1" x14ac:dyDescent="0.25">
      <c r="B19" s="1" t="s">
        <v>38</v>
      </c>
      <c r="C19" s="1">
        <v>100631</v>
      </c>
      <c r="D19" s="1">
        <v>249</v>
      </c>
    </row>
    <row r="20" spans="2:4" ht="20.100000000000001" customHeight="1" x14ac:dyDescent="0.25">
      <c r="B20" s="1" t="s">
        <v>39</v>
      </c>
      <c r="C20" s="1">
        <v>295536</v>
      </c>
      <c r="D20" s="1">
        <v>61</v>
      </c>
    </row>
    <row r="21" spans="2:4" ht="20.100000000000001" customHeight="1" x14ac:dyDescent="0.25">
      <c r="B21" s="1" t="s">
        <v>40</v>
      </c>
      <c r="C21" s="1">
        <v>100744</v>
      </c>
      <c r="D21" s="1">
        <v>248</v>
      </c>
    </row>
    <row r="22" spans="2:4" ht="20.100000000000001" customHeight="1" x14ac:dyDescent="0.25">
      <c r="B22" s="1" t="s">
        <v>41</v>
      </c>
      <c r="C22" s="1">
        <v>104108</v>
      </c>
      <c r="D22" s="1">
        <v>238</v>
      </c>
    </row>
    <row r="23" spans="2:4" ht="20.100000000000001" customHeight="1" x14ac:dyDescent="0.25">
      <c r="B23" s="1" t="s">
        <v>42</v>
      </c>
      <c r="C23" s="1">
        <v>210497</v>
      </c>
      <c r="D23" s="1">
        <v>90</v>
      </c>
    </row>
    <row r="24" spans="2:4" ht="20.100000000000001" customHeight="1" x14ac:dyDescent="0.25">
      <c r="B24" s="1" t="s">
        <v>43</v>
      </c>
      <c r="C24" s="1">
        <v>123252</v>
      </c>
      <c r="D24" s="1">
        <v>191</v>
      </c>
    </row>
    <row r="25" spans="2:4" ht="20.100000000000001" customHeight="1" x14ac:dyDescent="0.25">
      <c r="B25" s="1" t="s">
        <v>44</v>
      </c>
      <c r="C25" s="1">
        <v>149387</v>
      </c>
      <c r="D25" s="1">
        <v>151</v>
      </c>
    </row>
    <row r="26" spans="2:4" ht="20.100000000000001" customHeight="1" x14ac:dyDescent="0.25">
      <c r="B26" s="1" t="s">
        <v>45</v>
      </c>
      <c r="C26" s="1">
        <v>109830</v>
      </c>
      <c r="D26" s="1">
        <v>217</v>
      </c>
    </row>
    <row r="27" spans="2:4" ht="20.100000000000001" customHeight="1" x14ac:dyDescent="0.25">
      <c r="B27" s="1" t="s">
        <v>46</v>
      </c>
      <c r="C27" s="1">
        <v>100339</v>
      </c>
      <c r="D27" s="1">
        <v>250</v>
      </c>
    </row>
    <row r="28" spans="2:4" ht="20.100000000000001" customHeight="1" x14ac:dyDescent="0.25">
      <c r="B28" s="1" t="s">
        <v>47</v>
      </c>
      <c r="C28" s="1">
        <v>109718</v>
      </c>
      <c r="D28" s="1">
        <v>218</v>
      </c>
    </row>
    <row r="29" spans="2:4" ht="20.100000000000001" customHeight="1" x14ac:dyDescent="0.25">
      <c r="B29" s="1" t="s">
        <v>48</v>
      </c>
      <c r="C29" s="1">
        <v>122513</v>
      </c>
      <c r="D29" s="1">
        <v>193</v>
      </c>
    </row>
    <row r="30" spans="2:4" ht="20.100000000000001" customHeight="1" x14ac:dyDescent="0.25">
      <c r="B30" s="1" t="s">
        <v>49</v>
      </c>
      <c r="C30" s="1">
        <v>112338</v>
      </c>
      <c r="D30" s="1">
        <v>212</v>
      </c>
    </row>
    <row r="31" spans="2:4" ht="20.100000000000001" customHeight="1" x14ac:dyDescent="0.25">
      <c r="B31" s="1" t="s">
        <v>50</v>
      </c>
      <c r="C31" s="1">
        <v>134085</v>
      </c>
      <c r="D31" s="1">
        <v>175</v>
      </c>
    </row>
    <row r="32" spans="2:4" ht="20.100000000000001" customHeight="1" x14ac:dyDescent="0.25">
      <c r="B32" s="1" t="s">
        <v>51</v>
      </c>
      <c r="C32" s="1">
        <v>104476</v>
      </c>
      <c r="D32" s="1">
        <v>235</v>
      </c>
    </row>
    <row r="33" spans="2:4" ht="20.100000000000001" customHeight="1" x14ac:dyDescent="0.25">
      <c r="B33" s="1" t="s">
        <v>52</v>
      </c>
      <c r="C33" s="1">
        <v>163860</v>
      </c>
      <c r="D33" s="1">
        <v>138</v>
      </c>
    </row>
    <row r="34" spans="2:4" ht="20.100000000000001" customHeight="1" x14ac:dyDescent="0.25">
      <c r="B34" s="1" t="s">
        <v>53</v>
      </c>
      <c r="C34" s="1">
        <v>200468</v>
      </c>
      <c r="D34" s="1">
        <v>96</v>
      </c>
    </row>
    <row r="35" spans="2:4" ht="20.100000000000001" customHeight="1" x14ac:dyDescent="0.25">
      <c r="B35" s="1" t="s">
        <v>54</v>
      </c>
      <c r="C35" s="1">
        <v>461116</v>
      </c>
      <c r="D35" s="1">
        <v>36</v>
      </c>
    </row>
    <row r="36" spans="2:4" ht="20.100000000000001" customHeight="1" x14ac:dyDescent="0.25">
      <c r="B36" s="1" t="s">
        <v>55</v>
      </c>
      <c r="C36" s="1">
        <v>132787</v>
      </c>
      <c r="D36" s="1">
        <v>177</v>
      </c>
    </row>
    <row r="37" spans="2:4" ht="20.100000000000001" customHeight="1" x14ac:dyDescent="0.25">
      <c r="B37" s="1" t="s">
        <v>56</v>
      </c>
      <c r="C37" s="1">
        <v>166075</v>
      </c>
      <c r="D37" s="1">
        <v>136</v>
      </c>
    </row>
    <row r="38" spans="2:4" ht="20.100000000000001" customHeight="1" x14ac:dyDescent="0.25">
      <c r="B38" s="1" t="s">
        <v>57</v>
      </c>
      <c r="C38" s="1">
        <v>200065</v>
      </c>
      <c r="D38" s="1">
        <v>98</v>
      </c>
    </row>
    <row r="39" spans="2:4" ht="20.100000000000001" customHeight="1" x14ac:dyDescent="0.25">
      <c r="B39" s="1" t="s">
        <v>58</v>
      </c>
      <c r="C39" s="1">
        <v>140293</v>
      </c>
      <c r="D39" s="1">
        <v>165</v>
      </c>
    </row>
    <row r="40" spans="2:4" ht="20.100000000000001" customHeight="1" x14ac:dyDescent="0.25">
      <c r="B40" s="1" t="s">
        <v>59</v>
      </c>
      <c r="C40" s="1">
        <v>194457</v>
      </c>
      <c r="D40" s="1">
        <v>105</v>
      </c>
    </row>
    <row r="41" spans="2:4" ht="20.100000000000001" customHeight="1" x14ac:dyDescent="0.25">
      <c r="B41" s="1" t="s">
        <v>60</v>
      </c>
      <c r="C41" s="1">
        <v>114467</v>
      </c>
      <c r="D41" s="1">
        <v>207</v>
      </c>
    </row>
    <row r="42" spans="2:4" ht="20.100000000000001" customHeight="1" x14ac:dyDescent="0.25">
      <c r="B42" s="1" t="s">
        <v>61</v>
      </c>
      <c r="C42" s="1">
        <v>186852</v>
      </c>
      <c r="D42" s="1">
        <v>114</v>
      </c>
    </row>
    <row r="43" spans="2:4" ht="20.100000000000001" customHeight="1" x14ac:dyDescent="0.25">
      <c r="B43" s="1" t="s">
        <v>62</v>
      </c>
      <c r="C43" s="1">
        <v>134032</v>
      </c>
      <c r="D43" s="1">
        <v>176</v>
      </c>
    </row>
    <row r="44" spans="2:4" ht="20.100000000000001" customHeight="1" x14ac:dyDescent="0.25">
      <c r="B44" s="1" t="s">
        <v>63</v>
      </c>
      <c r="C44" s="1">
        <v>474014</v>
      </c>
      <c r="D44" s="1">
        <v>34</v>
      </c>
    </row>
    <row r="45" spans="2:4" ht="20.100000000000001" customHeight="1" x14ac:dyDescent="0.25">
      <c r="B45" s="1" t="s">
        <v>64</v>
      </c>
      <c r="C45" s="1">
        <v>3844829</v>
      </c>
      <c r="D45" s="1">
        <v>2</v>
      </c>
    </row>
    <row r="46" spans="2:4" ht="20.100000000000001" customHeight="1" x14ac:dyDescent="0.25">
      <c r="B46" s="1" t="s">
        <v>65</v>
      </c>
      <c r="C46" s="1">
        <v>207011</v>
      </c>
      <c r="D46" s="1">
        <v>93</v>
      </c>
    </row>
    <row r="47" spans="2:4" ht="20.100000000000001" customHeight="1" x14ac:dyDescent="0.25">
      <c r="B47" s="1" t="s">
        <v>66</v>
      </c>
      <c r="C47" s="1">
        <v>178367</v>
      </c>
      <c r="D47" s="1">
        <v>121</v>
      </c>
    </row>
    <row r="48" spans="2:4" ht="20.100000000000001" customHeight="1" x14ac:dyDescent="0.25">
      <c r="B48" s="1" t="s">
        <v>67</v>
      </c>
      <c r="C48" s="1">
        <v>105834</v>
      </c>
      <c r="D48" s="1">
        <v>230</v>
      </c>
    </row>
    <row r="49" spans="2:4" ht="20.100000000000001" customHeight="1" x14ac:dyDescent="0.25">
      <c r="B49" s="1" t="s">
        <v>68</v>
      </c>
      <c r="C49" s="1">
        <v>395274</v>
      </c>
      <c r="D49" s="1">
        <v>44</v>
      </c>
    </row>
    <row r="50" spans="2:4" ht="20.100000000000001" customHeight="1" x14ac:dyDescent="0.25">
      <c r="B50" s="1" t="s">
        <v>69</v>
      </c>
      <c r="C50" s="1">
        <v>166108</v>
      </c>
      <c r="D50" s="1">
        <v>135</v>
      </c>
    </row>
    <row r="51" spans="2:4" ht="20.100000000000001" customHeight="1" x14ac:dyDescent="0.25">
      <c r="B51" s="1" t="s">
        <v>70</v>
      </c>
      <c r="C51" s="1">
        <v>172679</v>
      </c>
      <c r="D51" s="1">
        <v>128</v>
      </c>
    </row>
    <row r="52" spans="2:4" ht="20.100000000000001" customHeight="1" x14ac:dyDescent="0.25">
      <c r="B52" s="1" t="s">
        <v>71</v>
      </c>
      <c r="C52" s="1">
        <v>134950</v>
      </c>
      <c r="D52" s="1">
        <v>173</v>
      </c>
    </row>
    <row r="53" spans="2:4" ht="20.100000000000001" customHeight="1" x14ac:dyDescent="0.25">
      <c r="B53" s="1" t="s">
        <v>72</v>
      </c>
      <c r="C53" s="1">
        <v>183628</v>
      </c>
      <c r="D53" s="1">
        <v>117</v>
      </c>
    </row>
    <row r="54" spans="2:4" ht="20.100000000000001" customHeight="1" x14ac:dyDescent="0.25">
      <c r="B54" s="1" t="s">
        <v>73</v>
      </c>
      <c r="C54" s="1">
        <v>134570</v>
      </c>
      <c r="D54" s="1">
        <v>174</v>
      </c>
    </row>
    <row r="55" spans="2:4" ht="20.100000000000001" customHeight="1" x14ac:dyDescent="0.25">
      <c r="B55" s="1" t="s">
        <v>74</v>
      </c>
      <c r="C55" s="1">
        <v>143731</v>
      </c>
      <c r="D55" s="1">
        <v>160</v>
      </c>
    </row>
    <row r="56" spans="2:4" ht="20.100000000000001" customHeight="1" x14ac:dyDescent="0.25">
      <c r="B56" s="1" t="s">
        <v>75</v>
      </c>
      <c r="C56" s="1">
        <v>153787</v>
      </c>
      <c r="D56" s="1">
        <v>144</v>
      </c>
    </row>
    <row r="57" spans="2:4" ht="20.100000000000001" customHeight="1" x14ac:dyDescent="0.25">
      <c r="B57" s="1" t="s">
        <v>76</v>
      </c>
      <c r="C57" s="1">
        <v>169353</v>
      </c>
      <c r="D57" s="1">
        <v>129</v>
      </c>
    </row>
    <row r="58" spans="2:4" ht="20.100000000000001" customHeight="1" x14ac:dyDescent="0.25">
      <c r="B58" s="1" t="s">
        <v>77</v>
      </c>
      <c r="C58" s="1">
        <v>102186</v>
      </c>
      <c r="D58" s="1">
        <v>245</v>
      </c>
    </row>
    <row r="59" spans="2:4" ht="20.100000000000001" customHeight="1" x14ac:dyDescent="0.25">
      <c r="B59" s="1" t="s">
        <v>78</v>
      </c>
      <c r="C59" s="1">
        <v>290086</v>
      </c>
      <c r="D59" s="1">
        <v>62</v>
      </c>
    </row>
    <row r="60" spans="2:4" ht="20.100000000000001" customHeight="1" x14ac:dyDescent="0.25">
      <c r="B60" s="1" t="s">
        <v>79</v>
      </c>
      <c r="C60" s="1">
        <v>105940</v>
      </c>
      <c r="D60" s="1">
        <v>229</v>
      </c>
    </row>
    <row r="61" spans="2:4" ht="20.100000000000001" customHeight="1" x14ac:dyDescent="0.25">
      <c r="B61" s="1" t="s">
        <v>80</v>
      </c>
      <c r="C61" s="1">
        <v>456441</v>
      </c>
      <c r="D61" s="1">
        <v>37</v>
      </c>
    </row>
    <row r="62" spans="2:4" ht="20.100000000000001" customHeight="1" x14ac:dyDescent="0.25">
      <c r="B62" s="1" t="s">
        <v>81</v>
      </c>
      <c r="C62" s="1">
        <v>146431</v>
      </c>
      <c r="D62" s="1">
        <v>153</v>
      </c>
    </row>
    <row r="63" spans="2:4" ht="20.100000000000001" customHeight="1" x14ac:dyDescent="0.25">
      <c r="B63" s="1" t="s">
        <v>82</v>
      </c>
      <c r="C63" s="1">
        <v>198550</v>
      </c>
      <c r="D63" s="1">
        <v>100</v>
      </c>
    </row>
    <row r="64" spans="2:4" ht="20.100000000000001" customHeight="1" x14ac:dyDescent="0.25">
      <c r="B64" s="1" t="s">
        <v>83</v>
      </c>
      <c r="C64" s="1">
        <v>104017</v>
      </c>
      <c r="D64" s="1">
        <v>239</v>
      </c>
    </row>
    <row r="65" spans="2:4" ht="20.100000000000001" customHeight="1" x14ac:dyDescent="0.25">
      <c r="B65" s="1" t="s">
        <v>84</v>
      </c>
      <c r="C65" s="1">
        <v>1255540</v>
      </c>
      <c r="D65" s="1">
        <v>8</v>
      </c>
    </row>
    <row r="66" spans="2:4" ht="20.100000000000001" customHeight="1" x14ac:dyDescent="0.25">
      <c r="B66" s="1" t="s">
        <v>85</v>
      </c>
      <c r="C66" s="1">
        <v>739426</v>
      </c>
      <c r="D66" s="1">
        <v>14</v>
      </c>
    </row>
    <row r="67" spans="2:4" ht="20.100000000000001" customHeight="1" x14ac:dyDescent="0.25">
      <c r="B67" s="1" t="s">
        <v>86</v>
      </c>
      <c r="C67" s="1">
        <v>912332</v>
      </c>
      <c r="D67" s="1">
        <v>10</v>
      </c>
    </row>
    <row r="68" spans="2:4" ht="20.100000000000001" customHeight="1" x14ac:dyDescent="0.25">
      <c r="B68" s="1" t="s">
        <v>87</v>
      </c>
      <c r="C68" s="1">
        <v>340368</v>
      </c>
      <c r="D68" s="1">
        <v>54</v>
      </c>
    </row>
    <row r="69" spans="2:4" ht="20.100000000000001" customHeight="1" x14ac:dyDescent="0.25">
      <c r="B69" s="1" t="s">
        <v>88</v>
      </c>
      <c r="C69" s="1">
        <v>105402</v>
      </c>
      <c r="D69" s="1">
        <v>231</v>
      </c>
    </row>
    <row r="70" spans="2:4" ht="20.100000000000001" customHeight="1" x14ac:dyDescent="0.25">
      <c r="B70" s="1" t="s">
        <v>89</v>
      </c>
      <c r="C70" s="1">
        <v>168253</v>
      </c>
      <c r="D70" s="1">
        <v>130</v>
      </c>
    </row>
    <row r="71" spans="2:4" ht="20.100000000000001" customHeight="1" x14ac:dyDescent="0.25">
      <c r="B71" s="1" t="s">
        <v>90</v>
      </c>
      <c r="C71" s="1">
        <v>153158</v>
      </c>
      <c r="D71" s="1">
        <v>145</v>
      </c>
    </row>
    <row r="72" spans="2:4" ht="20.100000000000001" customHeight="1" x14ac:dyDescent="0.25">
      <c r="B72" s="1" t="s">
        <v>91</v>
      </c>
      <c r="C72" s="1">
        <v>118687</v>
      </c>
      <c r="D72" s="1">
        <v>198</v>
      </c>
    </row>
    <row r="73" spans="2:4" ht="20.100000000000001" customHeight="1" x14ac:dyDescent="0.25">
      <c r="B73" s="1" t="s">
        <v>92</v>
      </c>
      <c r="C73" s="1">
        <v>286926</v>
      </c>
      <c r="D73" s="1">
        <v>63</v>
      </c>
    </row>
    <row r="74" spans="2:4" ht="20.100000000000001" customHeight="1" x14ac:dyDescent="0.25">
      <c r="B74" s="1" t="s">
        <v>93</v>
      </c>
      <c r="C74" s="1">
        <v>128902</v>
      </c>
      <c r="D74" s="1">
        <v>181</v>
      </c>
    </row>
    <row r="75" spans="2:4" ht="20.100000000000001" customHeight="1" x14ac:dyDescent="0.25">
      <c r="B75" s="1" t="s">
        <v>94</v>
      </c>
      <c r="C75" s="1">
        <v>124359</v>
      </c>
      <c r="D75" s="1">
        <v>189</v>
      </c>
    </row>
    <row r="76" spans="2:4" ht="20.100000000000001" customHeight="1" x14ac:dyDescent="0.25">
      <c r="B76" s="1" t="s">
        <v>95</v>
      </c>
      <c r="C76" s="1">
        <v>142384</v>
      </c>
      <c r="D76" s="1">
        <v>161</v>
      </c>
    </row>
    <row r="77" spans="2:4" ht="20.100000000000001" customHeight="1" x14ac:dyDescent="0.25">
      <c r="B77" s="1" t="s">
        <v>96</v>
      </c>
      <c r="C77" s="1">
        <v>117483</v>
      </c>
      <c r="D77" s="1">
        <v>200</v>
      </c>
    </row>
    <row r="78" spans="2:4" ht="20.100000000000001" customHeight="1" x14ac:dyDescent="0.25">
      <c r="B78" s="1" t="s">
        <v>97</v>
      </c>
      <c r="C78" s="1">
        <v>108669</v>
      </c>
      <c r="D78" s="1">
        <v>221</v>
      </c>
    </row>
    <row r="79" spans="2:4" ht="20.100000000000001" customHeight="1" x14ac:dyDescent="0.25">
      <c r="B79" s="1" t="s">
        <v>98</v>
      </c>
      <c r="C79" s="1">
        <v>108185</v>
      </c>
      <c r="D79" s="1">
        <v>222</v>
      </c>
    </row>
    <row r="80" spans="2:4" ht="20.100000000000001" customHeight="1" x14ac:dyDescent="0.25">
      <c r="B80" s="1" t="s">
        <v>99</v>
      </c>
      <c r="C80" s="1">
        <v>103966</v>
      </c>
      <c r="D80" s="1">
        <v>240</v>
      </c>
    </row>
    <row r="81" spans="2:4" ht="20.100000000000001" customHeight="1" x14ac:dyDescent="0.25">
      <c r="B81" s="1" t="s">
        <v>100</v>
      </c>
      <c r="C81" s="1">
        <v>297235</v>
      </c>
      <c r="D81" s="1">
        <v>60</v>
      </c>
    </row>
    <row r="82" spans="2:4" ht="20.100000000000001" customHeight="1" x14ac:dyDescent="0.25">
      <c r="B82" s="1" t="s">
        <v>101</v>
      </c>
      <c r="C82" s="1">
        <v>369815</v>
      </c>
      <c r="D82" s="1">
        <v>49</v>
      </c>
    </row>
    <row r="83" spans="2:4" ht="20.100000000000001" customHeight="1" x14ac:dyDescent="0.25">
      <c r="B83" s="1" t="s">
        <v>102</v>
      </c>
      <c r="C83" s="1">
        <v>557917</v>
      </c>
      <c r="D83" s="1">
        <v>25</v>
      </c>
    </row>
    <row r="84" spans="2:4" ht="20.100000000000001" customHeight="1" x14ac:dyDescent="0.25">
      <c r="B84" s="1" t="s">
        <v>103</v>
      </c>
      <c r="C84" s="1">
        <v>128026</v>
      </c>
      <c r="D84" s="1">
        <v>185</v>
      </c>
    </row>
    <row r="85" spans="2:4" ht="20.100000000000001" customHeight="1" x14ac:dyDescent="0.25">
      <c r="B85" s="1" t="s">
        <v>104</v>
      </c>
      <c r="C85" s="1">
        <v>140671</v>
      </c>
      <c r="D85" s="1">
        <v>164</v>
      </c>
    </row>
    <row r="86" spans="2:4" ht="20.100000000000001" customHeight="1" x14ac:dyDescent="0.25">
      <c r="B86" s="1" t="s">
        <v>105</v>
      </c>
      <c r="C86" s="1">
        <v>103495</v>
      </c>
      <c r="D86" s="1">
        <v>241</v>
      </c>
    </row>
    <row r="87" spans="2:4" ht="20.100000000000001" customHeight="1" x14ac:dyDescent="0.25">
      <c r="B87" s="1" t="s">
        <v>106</v>
      </c>
      <c r="C87" s="1">
        <v>105182</v>
      </c>
      <c r="D87" s="1">
        <v>233</v>
      </c>
    </row>
    <row r="88" spans="2:4" ht="20.100000000000001" customHeight="1" x14ac:dyDescent="0.25">
      <c r="B88" s="1" t="s">
        <v>107</v>
      </c>
      <c r="C88" s="1">
        <v>105084</v>
      </c>
      <c r="D88" s="1">
        <v>234</v>
      </c>
    </row>
    <row r="89" spans="2:4" ht="20.100000000000001" customHeight="1" x14ac:dyDescent="0.25">
      <c r="B89" s="1" t="s">
        <v>108</v>
      </c>
      <c r="C89" s="1">
        <v>139008</v>
      </c>
      <c r="D89" s="1">
        <v>168</v>
      </c>
    </row>
    <row r="90" spans="2:4" ht="20.100000000000001" customHeight="1" x14ac:dyDescent="0.25">
      <c r="B90" s="1" t="s">
        <v>109</v>
      </c>
      <c r="C90" s="1">
        <v>124397</v>
      </c>
      <c r="D90" s="1">
        <v>188</v>
      </c>
    </row>
    <row r="91" spans="2:4" ht="20.100000000000001" customHeight="1" x14ac:dyDescent="0.25">
      <c r="B91" s="1" t="s">
        <v>110</v>
      </c>
      <c r="C91" s="1">
        <v>124791</v>
      </c>
      <c r="D91" s="1">
        <v>187</v>
      </c>
    </row>
    <row r="92" spans="2:4" ht="20.100000000000001" customHeight="1" x14ac:dyDescent="0.25">
      <c r="B92" s="1" t="s">
        <v>111</v>
      </c>
      <c r="C92" s="1">
        <v>120045</v>
      </c>
      <c r="D92" s="1">
        <v>196</v>
      </c>
    </row>
    <row r="93" spans="2:4" ht="20.100000000000001" customHeight="1" x14ac:dyDescent="0.25">
      <c r="B93" s="1" t="s">
        <v>112</v>
      </c>
      <c r="C93" s="1">
        <v>107902</v>
      </c>
      <c r="D93" s="1">
        <v>224</v>
      </c>
    </row>
    <row r="94" spans="2:4" ht="20.100000000000001" customHeight="1" x14ac:dyDescent="0.25">
      <c r="B94" s="1" t="s">
        <v>113</v>
      </c>
      <c r="C94" s="1">
        <v>550521</v>
      </c>
      <c r="D94" s="1">
        <v>27</v>
      </c>
    </row>
    <row r="95" spans="2:4" ht="20.100000000000001" customHeight="1" x14ac:dyDescent="0.25">
      <c r="B95" s="1" t="s">
        <v>114</v>
      </c>
      <c r="C95" s="1">
        <v>140010</v>
      </c>
      <c r="D95" s="1">
        <v>166</v>
      </c>
    </row>
    <row r="96" spans="2:4" ht="20.100000000000001" customHeight="1" x14ac:dyDescent="0.25">
      <c r="B96" s="1" t="s">
        <v>115</v>
      </c>
      <c r="C96" s="1">
        <v>108687</v>
      </c>
      <c r="D96" s="1">
        <v>220</v>
      </c>
    </row>
    <row r="97" spans="2:4" ht="20.100000000000001" customHeight="1" x14ac:dyDescent="0.25">
      <c r="B97" s="1" t="s">
        <v>116</v>
      </c>
      <c r="C97" s="1">
        <v>128804</v>
      </c>
      <c r="D97" s="1">
        <v>182</v>
      </c>
    </row>
    <row r="98" spans="2:4" ht="20.100000000000001" customHeight="1" x14ac:dyDescent="0.25">
      <c r="B98" s="1" t="s">
        <v>117</v>
      </c>
      <c r="C98" s="1">
        <v>167380</v>
      </c>
      <c r="D98" s="1">
        <v>133</v>
      </c>
    </row>
    <row r="99" spans="2:4" ht="20.100000000000001" customHeight="1" x14ac:dyDescent="0.25">
      <c r="B99" s="1" t="s">
        <v>118</v>
      </c>
      <c r="C99" s="1">
        <v>108184</v>
      </c>
      <c r="D99" s="1">
        <v>223</v>
      </c>
    </row>
    <row r="100" spans="2:4" ht="20.100000000000001" customHeight="1" x14ac:dyDescent="0.25">
      <c r="B100" s="1" t="s">
        <v>119</v>
      </c>
      <c r="C100" s="1">
        <v>220485</v>
      </c>
      <c r="D100" s="1">
        <v>84</v>
      </c>
    </row>
    <row r="101" spans="2:4" ht="20.100000000000001" customHeight="1" x14ac:dyDescent="0.25">
      <c r="B101" s="1" t="s">
        <v>120</v>
      </c>
      <c r="C101" s="1">
        <v>145629</v>
      </c>
      <c r="D101" s="1">
        <v>154</v>
      </c>
    </row>
    <row r="102" spans="2:4" ht="20.100000000000001" customHeight="1" x14ac:dyDescent="0.25">
      <c r="B102" s="1" t="s">
        <v>121</v>
      </c>
      <c r="C102" s="1">
        <v>782623</v>
      </c>
      <c r="D102" s="1">
        <v>13</v>
      </c>
    </row>
    <row r="103" spans="2:4" ht="20.100000000000001" customHeight="1" x14ac:dyDescent="0.25">
      <c r="B103" s="1" t="s">
        <v>122</v>
      </c>
      <c r="C103" s="1">
        <v>386417</v>
      </c>
      <c r="D103" s="1">
        <v>45</v>
      </c>
    </row>
    <row r="104" spans="2:4" ht="20.100000000000001" customHeight="1" x14ac:dyDescent="0.25">
      <c r="B104" s="1" t="s">
        <v>123</v>
      </c>
      <c r="C104" s="1">
        <v>106623</v>
      </c>
      <c r="D104" s="1">
        <v>227</v>
      </c>
    </row>
    <row r="105" spans="2:4" ht="20.100000000000001" customHeight="1" x14ac:dyDescent="0.25">
      <c r="B105" s="1" t="s">
        <v>124</v>
      </c>
      <c r="C105" s="1">
        <v>213223</v>
      </c>
      <c r="D105" s="1">
        <v>87</v>
      </c>
    </row>
    <row r="106" spans="2:4" ht="20.100000000000001" customHeight="1" x14ac:dyDescent="0.25">
      <c r="B106" s="1" t="s">
        <v>125</v>
      </c>
      <c r="C106" s="1">
        <v>150380</v>
      </c>
      <c r="D106" s="1">
        <v>148</v>
      </c>
    </row>
    <row r="107" spans="2:4" ht="20.100000000000001" customHeight="1" x14ac:dyDescent="0.25">
      <c r="B107" s="1" t="s">
        <v>126</v>
      </c>
      <c r="C107" s="1">
        <v>104179</v>
      </c>
      <c r="D107" s="1">
        <v>236</v>
      </c>
    </row>
    <row r="108" spans="2:4" ht="20.100000000000001" customHeight="1" x14ac:dyDescent="0.25">
      <c r="B108" s="1" t="s">
        <v>127</v>
      </c>
      <c r="C108" s="1">
        <v>131692</v>
      </c>
      <c r="D108" s="1">
        <v>178</v>
      </c>
    </row>
    <row r="109" spans="2:4" ht="20.100000000000001" customHeight="1" x14ac:dyDescent="0.25">
      <c r="B109" s="1" t="s">
        <v>128</v>
      </c>
      <c r="C109" s="1">
        <v>249079</v>
      </c>
      <c r="D109" s="1">
        <v>71</v>
      </c>
    </row>
    <row r="110" spans="2:4" ht="20.100000000000001" customHeight="1" x14ac:dyDescent="0.25">
      <c r="B110" s="1" t="s">
        <v>129</v>
      </c>
      <c r="C110" s="1">
        <v>158500</v>
      </c>
      <c r="D110" s="1">
        <v>141</v>
      </c>
    </row>
    <row r="111" spans="2:4" ht="20.100000000000001" customHeight="1" x14ac:dyDescent="0.25">
      <c r="B111" s="1" t="s">
        <v>130</v>
      </c>
      <c r="C111" s="1">
        <v>325989</v>
      </c>
      <c r="D111" s="1">
        <v>56</v>
      </c>
    </row>
    <row r="112" spans="2:4" ht="20.100000000000001" customHeight="1" x14ac:dyDescent="0.25">
      <c r="B112" s="1" t="s">
        <v>131</v>
      </c>
      <c r="C112" s="1">
        <v>103238</v>
      </c>
      <c r="D112" s="1">
        <v>242</v>
      </c>
    </row>
    <row r="113" spans="2:4" ht="20.100000000000001" customHeight="1" x14ac:dyDescent="0.25">
      <c r="B113" s="1" t="s">
        <v>132</v>
      </c>
      <c r="C113" s="1">
        <v>470688</v>
      </c>
      <c r="D113" s="1">
        <v>35</v>
      </c>
    </row>
    <row r="114" spans="2:4" ht="20.100000000000001" customHeight="1" x14ac:dyDescent="0.25">
      <c r="B114" s="1" t="s">
        <v>133</v>
      </c>
      <c r="C114" s="1">
        <v>190782</v>
      </c>
      <c r="D114" s="1">
        <v>113</v>
      </c>
    </row>
    <row r="115" spans="2:4" ht="20.100000000000001" customHeight="1" x14ac:dyDescent="0.25">
      <c r="B115" s="1" t="s">
        <v>134</v>
      </c>
      <c r="C115" s="1">
        <v>185271</v>
      </c>
      <c r="D115" s="1">
        <v>115</v>
      </c>
    </row>
    <row r="116" spans="2:4" ht="20.100000000000001" customHeight="1" x14ac:dyDescent="0.25">
      <c r="B116" s="1" t="s">
        <v>135</v>
      </c>
      <c r="C116" s="1">
        <v>128453</v>
      </c>
      <c r="D116" s="1">
        <v>183</v>
      </c>
    </row>
    <row r="117" spans="2:4" ht="20.100000000000001" customHeight="1" x14ac:dyDescent="0.25">
      <c r="B117" s="1" t="s">
        <v>136</v>
      </c>
      <c r="C117" s="1">
        <v>377379</v>
      </c>
      <c r="D117" s="1">
        <v>47</v>
      </c>
    </row>
    <row r="118" spans="2:4" ht="20.100000000000001" customHeight="1" x14ac:dyDescent="0.25">
      <c r="B118" s="1" t="s">
        <v>137</v>
      </c>
      <c r="C118" s="1">
        <v>193161</v>
      </c>
      <c r="D118" s="1">
        <v>111</v>
      </c>
    </row>
    <row r="119" spans="2:4" ht="20.100000000000001" customHeight="1" x14ac:dyDescent="0.25">
      <c r="B119" s="1" t="s">
        <v>138</v>
      </c>
      <c r="C119" s="1">
        <v>168181</v>
      </c>
      <c r="D119" s="1">
        <v>131</v>
      </c>
    </row>
    <row r="120" spans="2:4" ht="20.100000000000001" customHeight="1" x14ac:dyDescent="0.25">
      <c r="B120" s="1" t="s">
        <v>139</v>
      </c>
      <c r="C120" s="1">
        <v>2842518</v>
      </c>
      <c r="D120" s="1">
        <v>3</v>
      </c>
    </row>
    <row r="121" spans="2:4" ht="20.100000000000001" customHeight="1" x14ac:dyDescent="0.25">
      <c r="B121" s="1" t="s">
        <v>140</v>
      </c>
      <c r="C121" s="1">
        <v>136208</v>
      </c>
      <c r="D121" s="1">
        <v>170</v>
      </c>
    </row>
    <row r="122" spans="2:4" ht="20.100000000000001" customHeight="1" x14ac:dyDescent="0.25">
      <c r="B122" s="1" t="s">
        <v>141</v>
      </c>
      <c r="C122" s="1">
        <v>141579</v>
      </c>
      <c r="D122" s="1">
        <v>163</v>
      </c>
    </row>
    <row r="123" spans="2:4" ht="20.100000000000001" customHeight="1" x14ac:dyDescent="0.25">
      <c r="B123" s="1" t="s">
        <v>142</v>
      </c>
      <c r="C123" s="1">
        <v>112685</v>
      </c>
      <c r="D123" s="1">
        <v>211</v>
      </c>
    </row>
    <row r="124" spans="2:4" ht="20.100000000000001" customHeight="1" x14ac:dyDescent="0.25">
      <c r="B124" s="1" t="s">
        <v>143</v>
      </c>
      <c r="C124" s="1">
        <v>152916</v>
      </c>
      <c r="D124" s="1">
        <v>146</v>
      </c>
    </row>
    <row r="125" spans="2:4" ht="20.100000000000001" customHeight="1" x14ac:dyDescent="0.25">
      <c r="B125" s="1" t="s">
        <v>144</v>
      </c>
      <c r="C125" s="1">
        <v>115668</v>
      </c>
      <c r="D125" s="1">
        <v>204</v>
      </c>
    </row>
    <row r="126" spans="2:4" ht="20.100000000000001" customHeight="1" x14ac:dyDescent="0.25">
      <c r="B126" s="1" t="s">
        <v>145</v>
      </c>
      <c r="C126" s="1">
        <v>115918</v>
      </c>
      <c r="D126" s="1">
        <v>203</v>
      </c>
    </row>
    <row r="127" spans="2:4" ht="20.100000000000001" customHeight="1" x14ac:dyDescent="0.25">
      <c r="B127" s="1" t="s">
        <v>146</v>
      </c>
      <c r="C127" s="1">
        <v>223341</v>
      </c>
      <c r="D127" s="1">
        <v>81</v>
      </c>
    </row>
    <row r="128" spans="2:4" ht="20.100000000000001" customHeight="1" x14ac:dyDescent="0.25">
      <c r="B128" s="1" t="s">
        <v>147</v>
      </c>
      <c r="C128" s="1">
        <v>784118</v>
      </c>
      <c r="D128" s="1">
        <v>12</v>
      </c>
    </row>
    <row r="129" spans="2:4" ht="20.100000000000001" customHeight="1" x14ac:dyDescent="0.25">
      <c r="B129" s="1" t="s">
        <v>148</v>
      </c>
      <c r="C129" s="1">
        <v>105262</v>
      </c>
      <c r="D129" s="1">
        <v>232</v>
      </c>
    </row>
    <row r="130" spans="2:4" ht="20.100000000000001" customHeight="1" x14ac:dyDescent="0.25">
      <c r="B130" s="1" t="s">
        <v>149</v>
      </c>
      <c r="C130" s="1">
        <v>123119</v>
      </c>
      <c r="D130" s="1">
        <v>192</v>
      </c>
    </row>
    <row r="131" spans="2:4" ht="20.100000000000001" customHeight="1" x14ac:dyDescent="0.25">
      <c r="B131" s="1" t="s">
        <v>150</v>
      </c>
      <c r="C131" s="1">
        <v>194163</v>
      </c>
      <c r="D131" s="1">
        <v>106</v>
      </c>
    </row>
    <row r="132" spans="2:4" ht="20.100000000000001" customHeight="1" x14ac:dyDescent="0.25">
      <c r="B132" s="1" t="s">
        <v>151</v>
      </c>
      <c r="C132" s="1">
        <v>144210</v>
      </c>
      <c r="D132" s="1">
        <v>158</v>
      </c>
    </row>
    <row r="133" spans="2:4" ht="20.100000000000001" customHeight="1" x14ac:dyDescent="0.25">
      <c r="B133" s="1" t="s">
        <v>152</v>
      </c>
      <c r="C133" s="1">
        <v>111334</v>
      </c>
      <c r="D133" s="1">
        <v>215</v>
      </c>
    </row>
    <row r="134" spans="2:4" ht="20.100000000000001" customHeight="1" x14ac:dyDescent="0.25">
      <c r="B134" s="1" t="s">
        <v>153</v>
      </c>
      <c r="C134" s="1">
        <v>164811</v>
      </c>
      <c r="D134" s="1">
        <v>137</v>
      </c>
    </row>
    <row r="135" spans="2:4" ht="20.100000000000001" customHeight="1" x14ac:dyDescent="0.25">
      <c r="B135" s="1" t="s">
        <v>154</v>
      </c>
      <c r="C135" s="1">
        <v>121946</v>
      </c>
      <c r="D135" s="1">
        <v>194</v>
      </c>
    </row>
    <row r="136" spans="2:4" ht="20.100000000000001" customHeight="1" x14ac:dyDescent="0.25">
      <c r="B136" s="1" t="s">
        <v>155</v>
      </c>
      <c r="C136" s="1">
        <v>354865</v>
      </c>
      <c r="D136" s="1">
        <v>51</v>
      </c>
    </row>
    <row r="137" spans="2:4" ht="20.100000000000001" customHeight="1" x14ac:dyDescent="0.25">
      <c r="B137" s="1" t="s">
        <v>156</v>
      </c>
      <c r="C137" s="1">
        <v>268080</v>
      </c>
      <c r="D137" s="1">
        <v>69</v>
      </c>
    </row>
    <row r="138" spans="2:4" ht="20.100000000000001" customHeight="1" x14ac:dyDescent="0.25">
      <c r="B138" s="1" t="s">
        <v>157</v>
      </c>
      <c r="C138" s="1">
        <v>556429</v>
      </c>
      <c r="D138" s="1">
        <v>26</v>
      </c>
    </row>
    <row r="139" spans="2:4" ht="20.100000000000001" customHeight="1" x14ac:dyDescent="0.25">
      <c r="B139" s="1" t="s">
        <v>158</v>
      </c>
      <c r="C139" s="1">
        <v>222064</v>
      </c>
      <c r="D139" s="1">
        <v>82</v>
      </c>
    </row>
    <row r="140" spans="2:4" ht="20.100000000000001" customHeight="1" x14ac:dyDescent="0.25">
      <c r="B140" s="1" t="s">
        <v>159</v>
      </c>
      <c r="C140" s="1">
        <v>112030</v>
      </c>
      <c r="D140" s="1">
        <v>213</v>
      </c>
    </row>
    <row r="141" spans="2:4" ht="20.100000000000001" customHeight="1" x14ac:dyDescent="0.25">
      <c r="B141" s="1" t="s">
        <v>160</v>
      </c>
      <c r="C141" s="1">
        <v>454863</v>
      </c>
      <c r="D141" s="1">
        <v>38</v>
      </c>
    </row>
    <row r="142" spans="2:4" ht="20.100000000000001" customHeight="1" x14ac:dyDescent="0.25">
      <c r="B142" s="1" t="s">
        <v>161</v>
      </c>
      <c r="C142" s="1">
        <v>198874</v>
      </c>
      <c r="D142" s="1">
        <v>99</v>
      </c>
    </row>
    <row r="143" spans="2:4" ht="20.100000000000001" customHeight="1" x14ac:dyDescent="0.25">
      <c r="B143" s="1" t="s">
        <v>162</v>
      </c>
      <c r="C143" s="1">
        <v>635815</v>
      </c>
      <c r="D143" s="1">
        <v>18</v>
      </c>
    </row>
    <row r="144" spans="2:4" ht="20.100000000000001" customHeight="1" x14ac:dyDescent="0.25">
      <c r="B144" s="1" t="s">
        <v>163</v>
      </c>
      <c r="C144" s="1">
        <v>559034</v>
      </c>
      <c r="D144" s="1">
        <v>24</v>
      </c>
    </row>
    <row r="145" spans="2:4" ht="20.100000000000001" customHeight="1" x14ac:dyDescent="0.25">
      <c r="B145" s="1" t="s">
        <v>164</v>
      </c>
      <c r="C145" s="1">
        <v>100135</v>
      </c>
      <c r="D145" s="1">
        <v>253</v>
      </c>
    </row>
    <row r="146" spans="2:4" ht="20.100000000000001" customHeight="1" x14ac:dyDescent="0.25">
      <c r="B146" s="1" t="s">
        <v>165</v>
      </c>
      <c r="C146" s="1">
        <v>103111</v>
      </c>
      <c r="D146" s="1">
        <v>243</v>
      </c>
    </row>
    <row r="147" spans="2:4" ht="20.100000000000001" customHeight="1" x14ac:dyDescent="0.25">
      <c r="B147" s="1" t="s">
        <v>166</v>
      </c>
      <c r="C147" s="1">
        <v>151732</v>
      </c>
      <c r="D147" s="1">
        <v>147</v>
      </c>
    </row>
    <row r="148" spans="2:4" ht="20.100000000000001" customHeight="1" x14ac:dyDescent="0.25">
      <c r="B148" s="1" t="s">
        <v>167</v>
      </c>
      <c r="C148" s="1">
        <v>175898</v>
      </c>
      <c r="D148" s="1">
        <v>126</v>
      </c>
    </row>
    <row r="149" spans="2:4" ht="20.100000000000001" customHeight="1" x14ac:dyDescent="0.25">
      <c r="B149" s="1" t="s">
        <v>168</v>
      </c>
      <c r="C149" s="1">
        <v>113271</v>
      </c>
      <c r="D149" s="1">
        <v>209</v>
      </c>
    </row>
    <row r="150" spans="2:4" ht="20.100000000000001" customHeight="1" x14ac:dyDescent="0.25">
      <c r="B150" s="1" t="s">
        <v>169</v>
      </c>
      <c r="C150" s="1">
        <v>886671</v>
      </c>
      <c r="D150" s="1">
        <v>11</v>
      </c>
    </row>
    <row r="151" spans="2:4" ht="20.100000000000001" customHeight="1" x14ac:dyDescent="0.25">
      <c r="B151" s="1" t="s">
        <v>170</v>
      </c>
      <c r="C151" s="1">
        <v>118551</v>
      </c>
      <c r="D151" s="1">
        <v>199</v>
      </c>
    </row>
    <row r="152" spans="2:4" ht="20.100000000000001" customHeight="1" x14ac:dyDescent="0.25">
      <c r="B152" s="1" t="s">
        <v>171</v>
      </c>
      <c r="C152" s="1">
        <v>193780</v>
      </c>
      <c r="D152" s="1">
        <v>107</v>
      </c>
    </row>
    <row r="153" spans="2:4" ht="20.100000000000001" customHeight="1" x14ac:dyDescent="0.25">
      <c r="B153" s="1" t="s">
        <v>172</v>
      </c>
      <c r="C153" s="1">
        <v>115518</v>
      </c>
      <c r="D153" s="1">
        <v>205</v>
      </c>
    </row>
    <row r="154" spans="2:4" ht="20.100000000000001" customHeight="1" x14ac:dyDescent="0.25">
      <c r="B154" s="1" t="s">
        <v>173</v>
      </c>
      <c r="C154" s="1">
        <v>128034</v>
      </c>
      <c r="D154" s="1">
        <v>184</v>
      </c>
    </row>
    <row r="155" spans="2:4" ht="20.100000000000001" customHeight="1" x14ac:dyDescent="0.25">
      <c r="B155" s="1" t="s">
        <v>174</v>
      </c>
      <c r="C155" s="1">
        <v>135311</v>
      </c>
      <c r="D155" s="1">
        <v>172</v>
      </c>
    </row>
    <row r="156" spans="2:4" ht="20.100000000000001" customHeight="1" x14ac:dyDescent="0.25">
      <c r="B156" s="1" t="s">
        <v>175</v>
      </c>
      <c r="C156" s="1">
        <v>372811</v>
      </c>
      <c r="D156" s="1">
        <v>48</v>
      </c>
    </row>
    <row r="157" spans="2:4" ht="20.100000000000001" customHeight="1" x14ac:dyDescent="0.25">
      <c r="B157" s="1" t="s">
        <v>176</v>
      </c>
      <c r="C157" s="1">
        <v>275150</v>
      </c>
      <c r="D157" s="1">
        <v>67</v>
      </c>
    </row>
    <row r="158" spans="2:4" ht="20.100000000000001" customHeight="1" x14ac:dyDescent="0.25">
      <c r="B158" s="1" t="s">
        <v>177</v>
      </c>
      <c r="C158" s="1">
        <v>177977</v>
      </c>
      <c r="D158" s="1">
        <v>123</v>
      </c>
    </row>
    <row r="159" spans="2:4" ht="20.100000000000001" customHeight="1" x14ac:dyDescent="0.25">
      <c r="B159" s="1" t="s">
        <v>178</v>
      </c>
      <c r="C159" s="1">
        <v>110208</v>
      </c>
      <c r="D159" s="1">
        <v>216</v>
      </c>
    </row>
    <row r="160" spans="2:4" ht="20.100000000000001" customHeight="1" x14ac:dyDescent="0.25">
      <c r="B160" s="1" t="s">
        <v>179</v>
      </c>
      <c r="C160" s="1">
        <v>444965</v>
      </c>
      <c r="D160" s="1">
        <v>40</v>
      </c>
    </row>
    <row r="161" spans="2:4" ht="20.100000000000001" customHeight="1" x14ac:dyDescent="0.25">
      <c r="B161" s="1" t="s">
        <v>180</v>
      </c>
      <c r="C161" s="1">
        <v>150298</v>
      </c>
      <c r="D161" s="1">
        <v>149</v>
      </c>
    </row>
    <row r="162" spans="2:4" ht="20.100000000000001" customHeight="1" x14ac:dyDescent="0.25">
      <c r="B162" s="1" t="s">
        <v>181</v>
      </c>
      <c r="C162" s="1">
        <v>344362</v>
      </c>
      <c r="D162" s="1">
        <v>52</v>
      </c>
    </row>
    <row r="163" spans="2:4" ht="20.100000000000001" customHeight="1" x14ac:dyDescent="0.25">
      <c r="B163" s="1" t="s">
        <v>182</v>
      </c>
      <c r="C163" s="1">
        <v>239213</v>
      </c>
      <c r="D163" s="1">
        <v>74</v>
      </c>
    </row>
    <row r="164" spans="2:4" ht="20.100000000000001" customHeight="1" x14ac:dyDescent="0.25">
      <c r="B164" s="1" t="s">
        <v>183</v>
      </c>
      <c r="C164" s="1">
        <v>414521</v>
      </c>
      <c r="D164" s="1">
        <v>43</v>
      </c>
    </row>
    <row r="165" spans="2:4" ht="20.100000000000001" customHeight="1" x14ac:dyDescent="0.25">
      <c r="B165" s="1" t="s">
        <v>184</v>
      </c>
      <c r="C165" s="1">
        <v>232146</v>
      </c>
      <c r="D165" s="1">
        <v>76</v>
      </c>
    </row>
    <row r="166" spans="2:4" ht="20.100000000000001" customHeight="1" x14ac:dyDescent="0.25">
      <c r="B166" s="1" t="s">
        <v>185</v>
      </c>
      <c r="C166" s="1">
        <v>545147</v>
      </c>
      <c r="D166" s="1">
        <v>29</v>
      </c>
    </row>
    <row r="167" spans="2:4" ht="20.100000000000001" customHeight="1" x14ac:dyDescent="0.25">
      <c r="B167" s="1" t="s">
        <v>186</v>
      </c>
      <c r="C167" s="1">
        <v>176635</v>
      </c>
      <c r="D167" s="1">
        <v>125</v>
      </c>
    </row>
    <row r="168" spans="2:4" ht="20.100000000000001" customHeight="1" x14ac:dyDescent="0.25">
      <c r="B168" s="1" t="s">
        <v>187</v>
      </c>
      <c r="C168" s="1">
        <v>203550</v>
      </c>
      <c r="D168" s="1">
        <v>95</v>
      </c>
    </row>
    <row r="169" spans="2:4" ht="20.100000000000001" customHeight="1" x14ac:dyDescent="0.25">
      <c r="B169" s="1" t="s">
        <v>188</v>
      </c>
      <c r="C169" s="1">
        <v>109691</v>
      </c>
      <c r="D169" s="1">
        <v>219</v>
      </c>
    </row>
    <row r="170" spans="2:4" ht="20.100000000000001" customHeight="1" x14ac:dyDescent="0.25">
      <c r="B170" s="1" t="s">
        <v>189</v>
      </c>
      <c r="C170" s="1">
        <v>125809</v>
      </c>
      <c r="D170" s="1">
        <v>186</v>
      </c>
    </row>
    <row r="171" spans="2:4" ht="20.100000000000001" customHeight="1" x14ac:dyDescent="0.25">
      <c r="B171" s="1" t="s">
        <v>190</v>
      </c>
      <c r="C171" s="1">
        <v>239614</v>
      </c>
      <c r="D171" s="1">
        <v>72</v>
      </c>
    </row>
    <row r="172" spans="2:4" ht="20.100000000000001" customHeight="1" x14ac:dyDescent="0.25">
      <c r="B172" s="1" t="s">
        <v>191</v>
      </c>
      <c r="C172" s="1">
        <v>280666</v>
      </c>
      <c r="D172" s="1">
        <v>65</v>
      </c>
    </row>
    <row r="173" spans="2:4" ht="20.100000000000001" customHeight="1" x14ac:dyDescent="0.25">
      <c r="B173" s="1" t="s">
        <v>192</v>
      </c>
      <c r="C173" s="1">
        <v>149843</v>
      </c>
      <c r="D173" s="1">
        <v>150</v>
      </c>
    </row>
    <row r="174" spans="2:4" ht="20.100000000000001" customHeight="1" x14ac:dyDescent="0.25">
      <c r="B174" s="1" t="s">
        <v>193</v>
      </c>
      <c r="C174" s="1">
        <v>494236</v>
      </c>
      <c r="D174" s="1">
        <v>33</v>
      </c>
    </row>
    <row r="175" spans="2:4" ht="20.100000000000001" customHeight="1" x14ac:dyDescent="0.25">
      <c r="B175" s="1" t="s">
        <v>194</v>
      </c>
      <c r="C175" s="1">
        <v>279745</v>
      </c>
      <c r="D175" s="1">
        <v>66</v>
      </c>
    </row>
    <row r="176" spans="2:4" ht="20.100000000000001" customHeight="1" x14ac:dyDescent="0.25">
      <c r="B176" s="1" t="s">
        <v>195</v>
      </c>
      <c r="C176" s="1">
        <v>8143197</v>
      </c>
      <c r="D176" s="1">
        <v>1</v>
      </c>
    </row>
    <row r="177" spans="2:4" ht="20.100000000000001" customHeight="1" x14ac:dyDescent="0.25">
      <c r="B177" s="1" t="s">
        <v>196</v>
      </c>
      <c r="C177" s="1">
        <v>211091</v>
      </c>
      <c r="D177" s="1">
        <v>88</v>
      </c>
    </row>
    <row r="178" spans="2:4" ht="20.100000000000001" customHeight="1" x14ac:dyDescent="0.25">
      <c r="B178" s="1" t="s">
        <v>197</v>
      </c>
      <c r="C178" s="1">
        <v>141683</v>
      </c>
      <c r="D178" s="1">
        <v>162</v>
      </c>
    </row>
    <row r="179" spans="2:4" ht="20.100000000000001" customHeight="1" x14ac:dyDescent="0.25">
      <c r="B179" s="1" t="s">
        <v>198</v>
      </c>
      <c r="C179" s="1">
        <v>196425</v>
      </c>
      <c r="D179" s="1">
        <v>102</v>
      </c>
    </row>
    <row r="180" spans="2:4" ht="20.100000000000001" customHeight="1" x14ac:dyDescent="0.25">
      <c r="B180" s="1" t="s">
        <v>199</v>
      </c>
      <c r="C180" s="1">
        <v>106439</v>
      </c>
      <c r="D180" s="1">
        <v>228</v>
      </c>
    </row>
    <row r="181" spans="2:4" ht="20.100000000000001" customHeight="1" x14ac:dyDescent="0.25">
      <c r="B181" s="1" t="s">
        <v>200</v>
      </c>
      <c r="C181" s="1">
        <v>610949</v>
      </c>
      <c r="D181" s="1">
        <v>20</v>
      </c>
    </row>
    <row r="182" spans="2:4" ht="20.100000000000001" customHeight="1" x14ac:dyDescent="0.25">
      <c r="B182" s="1" t="s">
        <v>201</v>
      </c>
      <c r="C182" s="1">
        <v>204845</v>
      </c>
      <c r="D182" s="1">
        <v>94</v>
      </c>
    </row>
    <row r="183" spans="2:4" ht="20.100000000000001" customHeight="1" x14ac:dyDescent="0.25">
      <c r="B183" s="1" t="s">
        <v>202</v>
      </c>
      <c r="C183" s="1">
        <v>129928</v>
      </c>
      <c r="D183" s="1">
        <v>179</v>
      </c>
    </row>
    <row r="184" spans="2:4" ht="20.100000000000001" customHeight="1" x14ac:dyDescent="0.25">
      <c r="B184" s="1" t="s">
        <v>203</v>
      </c>
      <c r="C184" s="1">
        <v>231962</v>
      </c>
      <c r="D184" s="1">
        <v>77</v>
      </c>
    </row>
    <row r="185" spans="2:4" ht="20.100000000000001" customHeight="1" x14ac:dyDescent="0.25">
      <c r="B185" s="1" t="s">
        <v>204</v>
      </c>
      <c r="C185" s="1">
        <v>341530</v>
      </c>
      <c r="D185" s="1">
        <v>53</v>
      </c>
    </row>
    <row r="186" spans="2:4" ht="20.100000000000001" customHeight="1" x14ac:dyDescent="0.25">
      <c r="B186" s="1" t="s">
        <v>205</v>
      </c>
      <c r="C186" s="1">
        <v>193755</v>
      </c>
      <c r="D186" s="1">
        <v>109</v>
      </c>
    </row>
    <row r="187" spans="2:4" ht="20.100000000000001" customHeight="1" x14ac:dyDescent="0.25">
      <c r="B187" s="1" t="s">
        <v>206</v>
      </c>
      <c r="C187" s="1">
        <v>210795</v>
      </c>
      <c r="D187" s="1">
        <v>89</v>
      </c>
    </row>
    <row r="188" spans="2:4" ht="20.100000000000001" customHeight="1" x14ac:dyDescent="0.25">
      <c r="B188" s="1" t="s">
        <v>207</v>
      </c>
      <c r="C188" s="1">
        <v>308728</v>
      </c>
      <c r="D188" s="1">
        <v>58</v>
      </c>
    </row>
    <row r="189" spans="2:4" ht="20.100000000000001" customHeight="1" x14ac:dyDescent="0.25">
      <c r="B189" s="1" t="s">
        <v>208</v>
      </c>
      <c r="C189" s="1">
        <v>452208</v>
      </c>
      <c r="D189" s="1">
        <v>39</v>
      </c>
    </row>
    <row r="190" spans="2:4" ht="20.100000000000001" customHeight="1" x14ac:dyDescent="0.25">
      <c r="B190" s="1" t="s">
        <v>209</v>
      </c>
      <c r="C190" s="1">
        <v>730657</v>
      </c>
      <c r="D190" s="1">
        <v>15</v>
      </c>
    </row>
    <row r="191" spans="2:4" ht="20.100000000000001" customHeight="1" x14ac:dyDescent="0.25">
      <c r="B191" s="1" t="s">
        <v>210</v>
      </c>
      <c r="C191" s="1">
        <v>158873</v>
      </c>
      <c r="D191" s="1">
        <v>140</v>
      </c>
    </row>
    <row r="192" spans="2:4" ht="20.100000000000001" customHeight="1" x14ac:dyDescent="0.25">
      <c r="B192" s="1" t="s">
        <v>211</v>
      </c>
      <c r="C192" s="1">
        <v>301285</v>
      </c>
      <c r="D192" s="1">
        <v>59</v>
      </c>
    </row>
    <row r="193" spans="2:4" ht="20.100000000000001" customHeight="1" x14ac:dyDescent="0.25">
      <c r="B193" s="1" t="s">
        <v>212</v>
      </c>
      <c r="C193" s="1">
        <v>101719</v>
      </c>
      <c r="D193" s="1">
        <v>246</v>
      </c>
    </row>
    <row r="194" spans="2:4" ht="20.100000000000001" customHeight="1" x14ac:dyDescent="0.25">
      <c r="B194" s="1" t="s">
        <v>213</v>
      </c>
      <c r="C194" s="1">
        <v>531324</v>
      </c>
      <c r="D194" s="1">
        <v>31</v>
      </c>
    </row>
    <row r="195" spans="2:4" ht="20.100000000000001" customHeight="1" x14ac:dyDescent="0.25">
      <c r="B195" s="1" t="s">
        <v>214</v>
      </c>
      <c r="C195" s="1">
        <v>382457</v>
      </c>
      <c r="D195" s="1">
        <v>46</v>
      </c>
    </row>
    <row r="196" spans="2:4" ht="20.100000000000001" customHeight="1" x14ac:dyDescent="0.25">
      <c r="B196" s="1" t="s">
        <v>215</v>
      </c>
      <c r="C196" s="1">
        <v>144515</v>
      </c>
      <c r="D196" s="1">
        <v>156</v>
      </c>
    </row>
    <row r="197" spans="2:4" ht="20.100000000000001" customHeight="1" x14ac:dyDescent="0.25">
      <c r="B197" s="1" t="s">
        <v>216</v>
      </c>
      <c r="C197" s="1">
        <v>533427</v>
      </c>
      <c r="D197" s="1">
        <v>30</v>
      </c>
    </row>
    <row r="198" spans="2:4" ht="20.100000000000001" customHeight="1" x14ac:dyDescent="0.25">
      <c r="B198" s="1" t="s">
        <v>217</v>
      </c>
      <c r="C198" s="1">
        <v>148751</v>
      </c>
      <c r="D198" s="1">
        <v>152</v>
      </c>
    </row>
    <row r="199" spans="2:4" ht="20.100000000000001" customHeight="1" x14ac:dyDescent="0.25">
      <c r="B199" s="1" t="s">
        <v>218</v>
      </c>
      <c r="C199" s="1">
        <v>106992</v>
      </c>
      <c r="D199" s="1">
        <v>225</v>
      </c>
    </row>
    <row r="200" spans="2:4" ht="20.100000000000001" customHeight="1" x14ac:dyDescent="0.25">
      <c r="B200" s="1" t="s">
        <v>219</v>
      </c>
      <c r="C200" s="1">
        <v>102612</v>
      </c>
      <c r="D200" s="1">
        <v>244</v>
      </c>
    </row>
    <row r="201" spans="2:4" ht="20.100000000000001" customHeight="1" x14ac:dyDescent="0.25">
      <c r="B201" s="1" t="s">
        <v>220</v>
      </c>
      <c r="C201" s="1">
        <v>1463281</v>
      </c>
      <c r="D201" s="1">
        <v>5</v>
      </c>
    </row>
    <row r="202" spans="2:4" ht="20.100000000000001" customHeight="1" x14ac:dyDescent="0.25">
      <c r="B202" s="1" t="s">
        <v>221</v>
      </c>
      <c r="C202" s="1">
        <v>316718</v>
      </c>
      <c r="D202" s="1">
        <v>57</v>
      </c>
    </row>
    <row r="203" spans="2:4" ht="20.100000000000001" customHeight="1" x14ac:dyDescent="0.25">
      <c r="B203" s="1" t="s">
        <v>222</v>
      </c>
      <c r="C203" s="1">
        <v>176862</v>
      </c>
      <c r="D203" s="1">
        <v>124</v>
      </c>
    </row>
    <row r="204" spans="2:4" ht="20.100000000000001" customHeight="1" x14ac:dyDescent="0.25">
      <c r="B204" s="1" t="s">
        <v>223</v>
      </c>
      <c r="C204" s="1">
        <v>106712</v>
      </c>
      <c r="D204" s="1">
        <v>226</v>
      </c>
    </row>
    <row r="205" spans="2:4" ht="20.100000000000001" customHeight="1" x14ac:dyDescent="0.25">
      <c r="B205" s="1" t="s">
        <v>224</v>
      </c>
      <c r="C205" s="1">
        <v>117088</v>
      </c>
      <c r="D205" s="1">
        <v>202</v>
      </c>
    </row>
    <row r="206" spans="2:4" ht="20.100000000000001" customHeight="1" x14ac:dyDescent="0.25">
      <c r="B206" s="1" t="s">
        <v>225</v>
      </c>
      <c r="C206" s="1">
        <v>139517</v>
      </c>
      <c r="D206" s="1">
        <v>167</v>
      </c>
    </row>
    <row r="207" spans="2:4" ht="20.100000000000001" customHeight="1" x14ac:dyDescent="0.25">
      <c r="B207" s="1" t="s">
        <v>226</v>
      </c>
      <c r="C207" s="1">
        <v>154762</v>
      </c>
      <c r="D207" s="1">
        <v>143</v>
      </c>
    </row>
    <row r="208" spans="2:4" ht="20.100000000000001" customHeight="1" x14ac:dyDescent="0.25">
      <c r="B208" s="1" t="s">
        <v>227</v>
      </c>
      <c r="C208" s="1">
        <v>112878</v>
      </c>
      <c r="D208" s="1">
        <v>210</v>
      </c>
    </row>
    <row r="209" spans="2:4" ht="20.100000000000001" customHeight="1" x14ac:dyDescent="0.25">
      <c r="B209" s="1" t="s">
        <v>228</v>
      </c>
      <c r="C209" s="1">
        <v>180130</v>
      </c>
      <c r="D209" s="1">
        <v>119</v>
      </c>
    </row>
    <row r="210" spans="2:4" ht="20.100000000000001" customHeight="1" x14ac:dyDescent="0.25">
      <c r="B210" s="1" t="s">
        <v>229</v>
      </c>
      <c r="C210" s="1">
        <v>672277</v>
      </c>
      <c r="D210" s="1">
        <v>17</v>
      </c>
    </row>
    <row r="211" spans="2:4" ht="20.100000000000001" customHeight="1" x14ac:dyDescent="0.25">
      <c r="B211" s="1" t="s">
        <v>230</v>
      </c>
      <c r="C211" s="1">
        <v>549110</v>
      </c>
      <c r="D211" s="1">
        <v>28</v>
      </c>
    </row>
    <row r="212" spans="2:4" ht="20.100000000000001" customHeight="1" x14ac:dyDescent="0.25">
      <c r="B212" s="1" t="s">
        <v>231</v>
      </c>
      <c r="C212" s="1">
        <v>114757</v>
      </c>
      <c r="D212" s="1">
        <v>206</v>
      </c>
    </row>
    <row r="213" spans="2:4" ht="20.100000000000001" customHeight="1" x14ac:dyDescent="0.25">
      <c r="B213" s="1" t="s">
        <v>232</v>
      </c>
      <c r="C213" s="1">
        <v>183021</v>
      </c>
      <c r="D213" s="1">
        <v>118</v>
      </c>
    </row>
    <row r="214" spans="2:4" ht="20.100000000000001" customHeight="1" x14ac:dyDescent="0.25">
      <c r="B214" s="1" t="s">
        <v>233</v>
      </c>
      <c r="C214" s="1">
        <v>362805</v>
      </c>
      <c r="D214" s="1">
        <v>50</v>
      </c>
    </row>
    <row r="215" spans="2:4" ht="20.100000000000001" customHeight="1" x14ac:dyDescent="0.25">
      <c r="B215" s="1" t="s">
        <v>234</v>
      </c>
      <c r="C215" s="1">
        <v>690252</v>
      </c>
      <c r="D215" s="1">
        <v>16</v>
      </c>
    </row>
    <row r="216" spans="2:4" ht="20.100000000000001" customHeight="1" x14ac:dyDescent="0.25">
      <c r="B216" s="1" t="s">
        <v>235</v>
      </c>
      <c r="C216" s="1">
        <v>111799</v>
      </c>
      <c r="D216" s="1">
        <v>214</v>
      </c>
    </row>
    <row r="217" spans="2:4" ht="20.100000000000001" customHeight="1" x14ac:dyDescent="0.25">
      <c r="B217" s="1" t="s">
        <v>236</v>
      </c>
      <c r="C217" s="1">
        <v>167493</v>
      </c>
      <c r="D217" s="1">
        <v>132</v>
      </c>
    </row>
    <row r="218" spans="2:4" ht="20.100000000000001" customHeight="1" x14ac:dyDescent="0.25">
      <c r="B218" s="1" t="s">
        <v>237</v>
      </c>
      <c r="C218" s="1">
        <v>118870</v>
      </c>
      <c r="D218" s="1">
        <v>197</v>
      </c>
    </row>
    <row r="219" spans="2:4" ht="20.100000000000001" customHeight="1" x14ac:dyDescent="0.25">
      <c r="B219" s="1" t="s">
        <v>238</v>
      </c>
      <c r="C219" s="1">
        <v>283474</v>
      </c>
      <c r="D219" s="1">
        <v>64</v>
      </c>
    </row>
    <row r="220" spans="2:4" ht="20.100000000000001" customHeight="1" x14ac:dyDescent="0.25">
      <c r="B220" s="1" t="s">
        <v>239</v>
      </c>
      <c r="C220" s="1">
        <v>1213825</v>
      </c>
      <c r="D220" s="1">
        <v>9</v>
      </c>
    </row>
    <row r="221" spans="2:4" ht="20.100000000000001" customHeight="1" x14ac:dyDescent="0.25">
      <c r="B221" s="1" t="s">
        <v>240</v>
      </c>
      <c r="C221" s="1">
        <v>104153</v>
      </c>
      <c r="D221" s="1">
        <v>237</v>
      </c>
    </row>
    <row r="222" spans="2:4" ht="20.100000000000001" customHeight="1" x14ac:dyDescent="0.25">
      <c r="B222" s="1" t="s">
        <v>241</v>
      </c>
      <c r="C222" s="1">
        <v>598590</v>
      </c>
      <c r="D222" s="1">
        <v>21</v>
      </c>
    </row>
    <row r="223" spans="2:4" ht="20.100000000000001" customHeight="1" x14ac:dyDescent="0.25">
      <c r="B223" s="1" t="s">
        <v>242</v>
      </c>
      <c r="C223" s="1">
        <v>624067</v>
      </c>
      <c r="D223" s="1">
        <v>19</v>
      </c>
    </row>
    <row r="224" spans="2:4" ht="20.100000000000001" customHeight="1" x14ac:dyDescent="0.25">
      <c r="B224" s="1" t="s">
        <v>243</v>
      </c>
      <c r="C224" s="1">
        <v>216346</v>
      </c>
      <c r="D224" s="1">
        <v>86</v>
      </c>
    </row>
    <row r="225" spans="2:4" ht="20.100000000000001" customHeight="1" x14ac:dyDescent="0.25">
      <c r="B225" s="1" t="s">
        <v>244</v>
      </c>
      <c r="C225" s="1">
        <v>144337</v>
      </c>
      <c r="D225" s="1">
        <v>157</v>
      </c>
    </row>
    <row r="226" spans="2:4" ht="20.100000000000001" customHeight="1" x14ac:dyDescent="0.25">
      <c r="B226" s="1" t="s">
        <v>245</v>
      </c>
      <c r="C226" s="1">
        <v>2016582</v>
      </c>
      <c r="D226" s="1">
        <v>4</v>
      </c>
    </row>
    <row r="227" spans="2:4" ht="20.100000000000001" customHeight="1" x14ac:dyDescent="0.25">
      <c r="B227" s="1" t="s">
        <v>246</v>
      </c>
      <c r="C227" s="1">
        <v>193649</v>
      </c>
      <c r="D227" s="1">
        <v>110</v>
      </c>
    </row>
    <row r="228" spans="2:4" ht="20.100000000000001" customHeight="1" x14ac:dyDescent="0.25">
      <c r="B228" s="1" t="s">
        <v>247</v>
      </c>
      <c r="C228" s="1">
        <v>100233</v>
      </c>
      <c r="D228" s="1">
        <v>251</v>
      </c>
    </row>
    <row r="229" spans="2:4" ht="20.100000000000001" customHeight="1" x14ac:dyDescent="0.25">
      <c r="B229" s="1" t="s">
        <v>248</v>
      </c>
      <c r="C229" s="1">
        <v>208754</v>
      </c>
      <c r="D229" s="1">
        <v>92</v>
      </c>
    </row>
    <row r="230" spans="2:4" ht="20.100000000000001" customHeight="1" x14ac:dyDescent="0.25">
      <c r="B230" s="1" t="s">
        <v>249</v>
      </c>
      <c r="C230" s="1">
        <v>209737</v>
      </c>
      <c r="D230" s="1">
        <v>91</v>
      </c>
    </row>
    <row r="231" spans="2:4" ht="20.100000000000001" customHeight="1" x14ac:dyDescent="0.25">
      <c r="B231" s="1" t="s">
        <v>250</v>
      </c>
      <c r="C231" s="1">
        <v>123622</v>
      </c>
      <c r="D231" s="1">
        <v>190</v>
      </c>
    </row>
    <row r="232" spans="2:4" ht="20.100000000000001" customHeight="1" x14ac:dyDescent="0.25">
      <c r="B232" s="1" t="s">
        <v>251</v>
      </c>
      <c r="C232" s="1">
        <v>129902</v>
      </c>
      <c r="D232" s="1">
        <v>180</v>
      </c>
    </row>
    <row r="233" spans="2:4" ht="20.100000000000001" customHeight="1" x14ac:dyDescent="0.25">
      <c r="B233" s="1" t="s">
        <v>252</v>
      </c>
      <c r="C233" s="1">
        <v>143852</v>
      </c>
      <c r="D233" s="1">
        <v>159</v>
      </c>
    </row>
    <row r="234" spans="2:4" ht="20.100000000000001" customHeight="1" x14ac:dyDescent="0.25">
      <c r="B234" s="1" t="s">
        <v>253</v>
      </c>
      <c r="C234" s="1">
        <v>250096</v>
      </c>
      <c r="D234" s="1">
        <v>70</v>
      </c>
    </row>
    <row r="235" spans="2:4" ht="20.100000000000001" customHeight="1" x14ac:dyDescent="0.25">
      <c r="B235" s="1" t="s">
        <v>254</v>
      </c>
      <c r="C235" s="1">
        <v>1256509</v>
      </c>
      <c r="D235" s="1">
        <v>7</v>
      </c>
    </row>
    <row r="236" spans="2:4" ht="20.100000000000001" customHeight="1" x14ac:dyDescent="0.25">
      <c r="B236" s="1" t="s">
        <v>255</v>
      </c>
      <c r="C236" s="1">
        <v>120465</v>
      </c>
      <c r="D236" s="1">
        <v>195</v>
      </c>
    </row>
    <row r="237" spans="2:4" ht="20.100000000000001" customHeight="1" x14ac:dyDescent="0.25">
      <c r="B237" s="1" t="s">
        <v>256</v>
      </c>
      <c r="C237" s="1">
        <v>178097</v>
      </c>
      <c r="D237" s="1">
        <v>122</v>
      </c>
    </row>
    <row r="238" spans="2:4" ht="20.100000000000001" customHeight="1" x14ac:dyDescent="0.25">
      <c r="B238" s="1" t="s">
        <v>257</v>
      </c>
      <c r="C238" s="1">
        <v>113300</v>
      </c>
      <c r="D238" s="1">
        <v>208</v>
      </c>
    </row>
    <row r="239" spans="2:4" ht="20.100000000000001" customHeight="1" x14ac:dyDescent="0.25">
      <c r="B239" s="1" t="s">
        <v>258</v>
      </c>
      <c r="C239" s="1">
        <v>135337</v>
      </c>
      <c r="D239" s="1">
        <v>171</v>
      </c>
    </row>
    <row r="240" spans="2:4" ht="20.100000000000001" customHeight="1" x14ac:dyDescent="0.25">
      <c r="B240" s="1" t="s">
        <v>259</v>
      </c>
      <c r="C240" s="1">
        <v>195965</v>
      </c>
      <c r="D240" s="1">
        <v>103</v>
      </c>
    </row>
    <row r="241" spans="2:4" ht="20.100000000000001" customHeight="1" x14ac:dyDescent="0.25">
      <c r="B241" s="1" t="s">
        <v>260</v>
      </c>
      <c r="C241" s="1">
        <v>218968</v>
      </c>
      <c r="D241" s="1">
        <v>85</v>
      </c>
    </row>
    <row r="242" spans="2:4" ht="20.100000000000001" customHeight="1" x14ac:dyDescent="0.25">
      <c r="B242" s="1" t="s">
        <v>261</v>
      </c>
      <c r="C242" s="1">
        <v>145579</v>
      </c>
      <c r="D242" s="1">
        <v>155</v>
      </c>
    </row>
    <row r="243" spans="2:4" ht="20.100000000000001" customHeight="1" x14ac:dyDescent="0.25">
      <c r="B243" s="1" t="s">
        <v>262</v>
      </c>
      <c r="C243" s="1">
        <v>179899</v>
      </c>
      <c r="D243" s="1">
        <v>120</v>
      </c>
    </row>
    <row r="244" spans="2:4" ht="20.100000000000001" customHeight="1" x14ac:dyDescent="0.25">
      <c r="B244" s="1" t="s">
        <v>263</v>
      </c>
      <c r="C244" s="1">
        <v>231954</v>
      </c>
      <c r="D244" s="1">
        <v>78</v>
      </c>
    </row>
    <row r="245" spans="2:4" ht="20.100000000000001" customHeight="1" x14ac:dyDescent="0.25">
      <c r="B245" s="1" t="s">
        <v>264</v>
      </c>
      <c r="C245" s="1">
        <v>100169</v>
      </c>
      <c r="D245" s="1">
        <v>252</v>
      </c>
    </row>
    <row r="246" spans="2:4" ht="20.100000000000001" customHeight="1" x14ac:dyDescent="0.25">
      <c r="B246" s="1" t="s">
        <v>265</v>
      </c>
      <c r="C246" s="1">
        <v>193777</v>
      </c>
      <c r="D246" s="1">
        <v>108</v>
      </c>
    </row>
    <row r="247" spans="2:4" ht="20.100000000000001" customHeight="1" x14ac:dyDescent="0.25">
      <c r="B247" s="1" t="s">
        <v>266</v>
      </c>
      <c r="C247" s="1">
        <v>438415</v>
      </c>
      <c r="D247" s="1">
        <v>42</v>
      </c>
    </row>
    <row r="248" spans="2:4" ht="20.100000000000001" customHeight="1" x14ac:dyDescent="0.25">
      <c r="B248" s="1" t="s">
        <v>267</v>
      </c>
      <c r="C248" s="1">
        <v>117137</v>
      </c>
      <c r="D248" s="1">
        <v>201</v>
      </c>
    </row>
    <row r="249" spans="2:4" ht="20.100000000000001" customHeight="1" x14ac:dyDescent="0.25">
      <c r="B249" s="1" t="s">
        <v>268</v>
      </c>
      <c r="C249" s="1">
        <v>573911</v>
      </c>
      <c r="D249" s="1">
        <v>23</v>
      </c>
    </row>
    <row r="250" spans="2:4" ht="20.100000000000001" customHeight="1" x14ac:dyDescent="0.25">
      <c r="B250" s="1" t="s">
        <v>269</v>
      </c>
      <c r="C250" s="1">
        <v>196818</v>
      </c>
      <c r="D250" s="1">
        <v>101</v>
      </c>
    </row>
    <row r="251" spans="2:4" ht="20.100000000000001" customHeight="1" x14ac:dyDescent="0.25">
      <c r="B251" s="1" t="s">
        <v>270</v>
      </c>
      <c r="C251" s="1">
        <v>195898</v>
      </c>
      <c r="D251" s="1">
        <v>104</v>
      </c>
    </row>
    <row r="252" spans="2:4" ht="20.100000000000001" customHeight="1" x14ac:dyDescent="0.25">
      <c r="B252" s="1" t="s">
        <v>271</v>
      </c>
      <c r="C252" s="1">
        <v>157493</v>
      </c>
      <c r="D252" s="1">
        <v>142</v>
      </c>
    </row>
    <row r="253" spans="2:4" ht="20.100000000000001" customHeight="1" x14ac:dyDescent="0.25">
      <c r="B253" s="1" t="s">
        <v>272</v>
      </c>
      <c r="C253" s="1">
        <v>101203</v>
      </c>
      <c r="D253" s="1">
        <v>247</v>
      </c>
    </row>
    <row r="254" spans="2:4" ht="20.100000000000001" customHeight="1" x14ac:dyDescent="0.25">
      <c r="B254" s="1" t="s">
        <v>273</v>
      </c>
      <c r="C254" s="1">
        <v>221551</v>
      </c>
      <c r="D254" s="1">
        <v>83</v>
      </c>
    </row>
    <row r="255" spans="2:4" ht="20.100000000000001" customHeight="1" x14ac:dyDescent="0.25">
      <c r="B255" s="1" t="s">
        <v>274</v>
      </c>
      <c r="C255" s="1">
        <v>578887</v>
      </c>
      <c r="D25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C50-669B-4D1D-B5CC-685823499DFD}">
  <sheetPr codeName="Sheet20"/>
  <dimension ref="B2:Y256"/>
  <sheetViews>
    <sheetView tabSelected="1" topLeftCell="N1" zoomScale="88" zoomScaleNormal="88" workbookViewId="0">
      <selection activeCell="Y6" sqref="Y6"/>
    </sheetView>
  </sheetViews>
  <sheetFormatPr defaultColWidth="10.59765625" defaultRowHeight="20.100000000000001" customHeight="1" x14ac:dyDescent="0.25"/>
  <cols>
    <col min="1" max="1" width="10.59765625" style="1"/>
    <col min="2" max="2" width="32.19921875" style="1" bestFit="1" customWidth="1"/>
    <col min="3" max="5" width="10.59765625" style="1"/>
    <col min="6" max="6" width="28.8984375" style="1" customWidth="1"/>
    <col min="7" max="7" width="29" style="1" bestFit="1" customWidth="1"/>
    <col min="8" max="8" width="24.59765625" style="1" bestFit="1" customWidth="1"/>
    <col min="9" max="11" width="10.59765625" style="1"/>
    <col min="12" max="12" width="24.3984375" style="1" bestFit="1" customWidth="1"/>
    <col min="13" max="13" width="32.5" style="1" customWidth="1"/>
    <col min="14" max="14" width="36.296875" style="1" customWidth="1"/>
    <col min="15" max="15" width="11.796875" style="1" customWidth="1"/>
    <col min="16" max="16" width="13.69921875" style="1" bestFit="1" customWidth="1"/>
    <col min="17" max="18" width="10.59765625" style="1"/>
    <col min="19" max="19" width="22.3984375" style="1" bestFit="1" customWidth="1"/>
    <col min="20" max="20" width="25.19921875" style="1" bestFit="1" customWidth="1"/>
    <col min="21" max="21" width="10.59765625" style="1"/>
    <col min="22" max="22" width="11" style="1" bestFit="1" customWidth="1"/>
    <col min="23" max="24" width="10.59765625" style="1"/>
    <col min="25" max="25" width="17.296875" style="1" customWidth="1"/>
    <col min="26" max="16384" width="10.59765625" style="1"/>
  </cols>
  <sheetData>
    <row r="2" spans="2:25" ht="20.100000000000001" customHeight="1" x14ac:dyDescent="0.25">
      <c r="B2" s="1" t="s">
        <v>0</v>
      </c>
      <c r="C2" s="1" t="s">
        <v>1</v>
      </c>
      <c r="D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275</v>
      </c>
    </row>
    <row r="3" spans="2:25" ht="20.100000000000001" customHeight="1" x14ac:dyDescent="0.25">
      <c r="B3" s="1" t="s">
        <v>22</v>
      </c>
      <c r="C3" s="1">
        <v>231483</v>
      </c>
      <c r="D3" s="1">
        <v>79</v>
      </c>
      <c r="F3" s="1" t="str">
        <f>LOWER(B3)</f>
        <v>birmingham, alabama  35203</v>
      </c>
      <c r="G3" s="1" t="str">
        <f>UPPER(B3)</f>
        <v>BIRMINGHAM, ALABAMA  35203</v>
      </c>
      <c r="H3" s="1" t="str">
        <f>PROPER(B3)</f>
        <v>Birmingham, Alabama  35203</v>
      </c>
      <c r="I3" s="1" t="str">
        <f>LEFT(B3,10)</f>
        <v>Birmingham</v>
      </c>
      <c r="J3" s="1" t="str">
        <f>RIGHT(B3,5)</f>
        <v>35203</v>
      </c>
      <c r="K3" s="1">
        <f>LEN(B3)</f>
        <v>26</v>
      </c>
      <c r="L3" s="1">
        <f>LEN(TRIM(B3))</f>
        <v>25</v>
      </c>
      <c r="M3" s="1" t="str">
        <f>B3&amp;" - "&amp;C3</f>
        <v>Birmingham, Alabama  35203 - 231483</v>
      </c>
      <c r="N3" s="1" t="str">
        <f>_xlfn.CONCAT(B3," - ",C3)</f>
        <v>Birmingham, Alabama  35203 - 231483</v>
      </c>
      <c r="O3" s="1" t="e">
        <f>VALUE(G3)</f>
        <v>#VALUE!</v>
      </c>
      <c r="P3" s="1">
        <f>VALUE(RIGHT(B3,5))</f>
        <v>35203</v>
      </c>
      <c r="Q3" s="1">
        <f>FIND("A",B3)</f>
        <v>13</v>
      </c>
      <c r="R3" s="1">
        <f>SEARCH("A",B3)</f>
        <v>9</v>
      </c>
      <c r="S3" s="1" t="str">
        <f>REPLACE(B3,1,4,"***")</f>
        <v>***ingham, Alabama  35203</v>
      </c>
      <c r="T3" s="1" t="str">
        <f>SUBSTITUTE(B3,",","-")</f>
        <v>Birmingham- Alabama  35203</v>
      </c>
      <c r="U3" s="1" t="str">
        <f>MID(B3,10,4)</f>
        <v>m, A</v>
      </c>
      <c r="V3" s="1" t="s">
        <v>276</v>
      </c>
      <c r="W3" s="1" t="str">
        <f>MID(B3,12,9)</f>
        <v xml:space="preserve"> Alabama </v>
      </c>
      <c r="X3" s="1" t="str">
        <f>RIGHT(B3,5)</f>
        <v>35203</v>
      </c>
    </row>
    <row r="4" spans="2:25" ht="20.100000000000001" customHeight="1" x14ac:dyDescent="0.25">
      <c r="B4" s="1" t="s">
        <v>23</v>
      </c>
      <c r="C4" s="1">
        <v>166313</v>
      </c>
      <c r="D4" s="1">
        <v>134</v>
      </c>
      <c r="F4" s="1" t="str">
        <f t="shared" ref="F4:F18" si="0">LOWER(B4)</f>
        <v>huntsville, alabama  35813</v>
      </c>
      <c r="G4" s="1" t="str">
        <f t="shared" ref="G4:G18" si="1">UPPER(B4)</f>
        <v>HUNTSVILLE, ALABAMA  35813</v>
      </c>
      <c r="H4" s="1" t="str">
        <f t="shared" ref="H4:H35" si="2">PROPER(B4)</f>
        <v>Huntsville, Alabama  35813</v>
      </c>
      <c r="I4" s="1" t="str">
        <f t="shared" ref="I4:I35" si="3">LEFT(B4,10)</f>
        <v>Huntsville</v>
      </c>
      <c r="J4" s="1" t="str">
        <f t="shared" ref="J4:J35" si="4">RIGHT(B4,5)</f>
        <v>35813</v>
      </c>
      <c r="K4" s="1">
        <f t="shared" ref="K4:K35" si="5">LEN(B4)</f>
        <v>26</v>
      </c>
      <c r="L4" s="1">
        <f t="shared" ref="L4:L35" si="6">LEN(TRIM(B4))</f>
        <v>25</v>
      </c>
      <c r="M4" s="1" t="str">
        <f t="shared" ref="M4:M35" si="7">B4&amp;" - "&amp;C4</f>
        <v>Huntsville, Alabama  35813 - 166313</v>
      </c>
      <c r="N4" s="1" t="str">
        <f t="shared" ref="N4:N35" si="8">_xlfn.CONCAT(B4," - ",C4)</f>
        <v>Huntsville, Alabama  35813 - 166313</v>
      </c>
      <c r="P4" s="1">
        <f t="shared" ref="P4:P35" si="9">VALUE(RIGHT(B4,5))</f>
        <v>35813</v>
      </c>
      <c r="Q4" s="1">
        <f t="shared" ref="Q4:Q35" si="10">FIND("A",B4)</f>
        <v>13</v>
      </c>
      <c r="R4" s="1">
        <f t="shared" ref="R4:R35" si="11">SEARCH("A",B4)</f>
        <v>13</v>
      </c>
      <c r="V4" s="1" t="str">
        <f>LEFT(B4,10)</f>
        <v>Huntsville</v>
      </c>
      <c r="W4" s="1" t="str">
        <f t="shared" ref="W4:W35" si="12">MID(B4,12,9)</f>
        <v xml:space="preserve"> Alabama </v>
      </c>
      <c r="X4" s="1" t="str">
        <f t="shared" ref="X4:X35" si="13">RIGHT(B4,5)</f>
        <v>35813</v>
      </c>
      <c r="Y4" s="1" t="str">
        <f>V4&amp;" "&amp;W4</f>
        <v xml:space="preserve">Huntsville  Alabama </v>
      </c>
    </row>
    <row r="5" spans="2:25" ht="20.100000000000001" customHeight="1" x14ac:dyDescent="0.25">
      <c r="B5" s="1" t="s">
        <v>24</v>
      </c>
      <c r="C5" s="1">
        <v>191544</v>
      </c>
      <c r="D5" s="1">
        <v>112</v>
      </c>
      <c r="F5" s="1" t="str">
        <f t="shared" si="0"/>
        <v>mobile, alabama  36601</v>
      </c>
      <c r="G5" s="1" t="str">
        <f t="shared" si="1"/>
        <v>MOBILE, ALABAMA  36601</v>
      </c>
      <c r="H5" s="1" t="str">
        <f t="shared" si="2"/>
        <v>Mobile, Alabama  36601</v>
      </c>
      <c r="I5" s="1" t="str">
        <f t="shared" si="3"/>
        <v>Mobile, Al</v>
      </c>
      <c r="J5" s="1" t="str">
        <f t="shared" si="4"/>
        <v>36601</v>
      </c>
      <c r="K5" s="1">
        <f t="shared" si="5"/>
        <v>22</v>
      </c>
      <c r="L5" s="1">
        <f t="shared" si="6"/>
        <v>21</v>
      </c>
      <c r="M5" s="1" t="str">
        <f t="shared" si="7"/>
        <v>Mobile, Alabama  36601 - 191544</v>
      </c>
      <c r="N5" s="1" t="str">
        <f t="shared" si="8"/>
        <v>Mobile, Alabama  36601 - 191544</v>
      </c>
      <c r="P5" s="1">
        <f t="shared" si="9"/>
        <v>36601</v>
      </c>
      <c r="Q5" s="1">
        <f t="shared" si="10"/>
        <v>9</v>
      </c>
      <c r="R5" s="1">
        <f t="shared" si="11"/>
        <v>9</v>
      </c>
      <c r="V5" s="1" t="str">
        <f>LEFT(B5,FIND(",",B5)-1)</f>
        <v>Mobile</v>
      </c>
      <c r="W5" s="1" t="str">
        <f>MID(B5,8,8)</f>
        <v xml:space="preserve"> Alabama</v>
      </c>
      <c r="X5" s="1" t="str">
        <f t="shared" si="13"/>
        <v>36601</v>
      </c>
      <c r="Y5" s="1" t="str">
        <f>_xlfn.CONCAT(V5,W5)</f>
        <v>Mobile Alabama</v>
      </c>
    </row>
    <row r="6" spans="2:25" ht="20.100000000000001" customHeight="1" x14ac:dyDescent="0.25">
      <c r="B6" s="1" t="s">
        <v>25</v>
      </c>
      <c r="C6" s="1">
        <v>200127</v>
      </c>
      <c r="D6" s="1">
        <v>97</v>
      </c>
      <c r="F6" s="1" t="str">
        <f>LOWER(B6)</f>
        <v>montgomery, alabama  36119</v>
      </c>
      <c r="G6" s="1" t="str">
        <f t="shared" si="1"/>
        <v>MONTGOMERY, ALABAMA  36119</v>
      </c>
      <c r="H6" s="1" t="str">
        <f t="shared" si="2"/>
        <v>Montgomery, Alabama  36119</v>
      </c>
      <c r="I6" s="1" t="str">
        <f t="shared" si="3"/>
        <v>Montgomery</v>
      </c>
      <c r="J6" s="1" t="str">
        <f t="shared" si="4"/>
        <v>36119</v>
      </c>
      <c r="K6" s="1">
        <f t="shared" si="5"/>
        <v>26</v>
      </c>
      <c r="L6" s="1">
        <f t="shared" si="6"/>
        <v>25</v>
      </c>
      <c r="M6" s="1" t="str">
        <f t="shared" si="7"/>
        <v>Montgomery, Alabama  36119 - 200127</v>
      </c>
      <c r="N6" s="1" t="str">
        <f t="shared" si="8"/>
        <v>Montgomery, Alabama  36119 - 200127</v>
      </c>
      <c r="P6" s="1">
        <f t="shared" si="9"/>
        <v>36119</v>
      </c>
      <c r="Q6" s="1">
        <f t="shared" si="10"/>
        <v>13</v>
      </c>
      <c r="R6" s="1">
        <f t="shared" si="11"/>
        <v>13</v>
      </c>
      <c r="X6" s="1" t="str">
        <f t="shared" si="13"/>
        <v>36119</v>
      </c>
    </row>
    <row r="7" spans="2:25" ht="20.100000000000001" customHeight="1" x14ac:dyDescent="0.25">
      <c r="B7" s="1" t="s">
        <v>26</v>
      </c>
      <c r="C7" s="1">
        <v>275043</v>
      </c>
      <c r="D7" s="1">
        <v>68</v>
      </c>
      <c r="F7" s="1" t="str">
        <f t="shared" si="0"/>
        <v>anchorage, alaska  99599</v>
      </c>
      <c r="G7" s="1" t="str">
        <f t="shared" si="1"/>
        <v>ANCHORAGE, ALASKA  99599</v>
      </c>
      <c r="H7" s="1" t="str">
        <f t="shared" si="2"/>
        <v>Anchorage, Alaska  99599</v>
      </c>
      <c r="I7" s="1" t="str">
        <f t="shared" si="3"/>
        <v>Anchorage,</v>
      </c>
      <c r="J7" s="1" t="str">
        <f t="shared" si="4"/>
        <v>99599</v>
      </c>
      <c r="K7" s="1">
        <f t="shared" si="5"/>
        <v>24</v>
      </c>
      <c r="L7" s="1">
        <f t="shared" si="6"/>
        <v>23</v>
      </c>
      <c r="M7" s="1" t="str">
        <f t="shared" si="7"/>
        <v>Anchorage, Alaska  99599 - 275043</v>
      </c>
      <c r="N7" s="1" t="str">
        <f t="shared" si="8"/>
        <v>Anchorage, Alaska  99599 - 275043</v>
      </c>
      <c r="P7" s="1">
        <f t="shared" si="9"/>
        <v>99599</v>
      </c>
      <c r="Q7" s="1">
        <f t="shared" si="10"/>
        <v>1</v>
      </c>
      <c r="R7" s="1">
        <f t="shared" si="11"/>
        <v>1</v>
      </c>
      <c r="X7" s="1" t="str">
        <f t="shared" si="13"/>
        <v>99599</v>
      </c>
    </row>
    <row r="8" spans="2:25" ht="20.100000000000001" customHeight="1" x14ac:dyDescent="0.25">
      <c r="B8" s="1" t="s">
        <v>27</v>
      </c>
      <c r="C8" s="1">
        <v>234939</v>
      </c>
      <c r="D8" s="1">
        <v>75</v>
      </c>
      <c r="F8" s="1" t="str">
        <f t="shared" si="0"/>
        <v>chandler, arizona  85225</v>
      </c>
      <c r="G8" s="1" t="str">
        <f t="shared" si="1"/>
        <v>CHANDLER, ARIZONA  85225</v>
      </c>
      <c r="H8" s="1" t="str">
        <f t="shared" si="2"/>
        <v>Chandler, Arizona  85225</v>
      </c>
      <c r="I8" s="1" t="str">
        <f t="shared" si="3"/>
        <v xml:space="preserve">Chandler, </v>
      </c>
      <c r="J8" s="1" t="str">
        <f t="shared" si="4"/>
        <v>85225</v>
      </c>
      <c r="K8" s="1">
        <f t="shared" si="5"/>
        <v>24</v>
      </c>
      <c r="L8" s="1">
        <f t="shared" si="6"/>
        <v>23</v>
      </c>
      <c r="M8" s="1" t="str">
        <f t="shared" si="7"/>
        <v>Chandler, Arizona  85225 - 234939</v>
      </c>
      <c r="N8" s="1" t="str">
        <f t="shared" si="8"/>
        <v>Chandler, Arizona  85225 - 234939</v>
      </c>
      <c r="P8" s="1">
        <f t="shared" si="9"/>
        <v>85225</v>
      </c>
      <c r="Q8" s="1">
        <f t="shared" si="10"/>
        <v>11</v>
      </c>
      <c r="R8" s="1">
        <f t="shared" si="11"/>
        <v>3</v>
      </c>
      <c r="X8" s="1" t="str">
        <f t="shared" si="13"/>
        <v>85225</v>
      </c>
    </row>
    <row r="9" spans="2:25" ht="20.100000000000001" customHeight="1" x14ac:dyDescent="0.25">
      <c r="B9" s="1" t="s">
        <v>28</v>
      </c>
      <c r="C9" s="1">
        <v>173989</v>
      </c>
      <c r="D9" s="1">
        <v>127</v>
      </c>
      <c r="F9" s="1" t="str">
        <f t="shared" si="0"/>
        <v>gilbert, arizona  85296</v>
      </c>
      <c r="G9" s="1" t="str">
        <f t="shared" si="1"/>
        <v>GILBERT, ARIZONA  85296</v>
      </c>
      <c r="H9" s="1" t="str">
        <f t="shared" si="2"/>
        <v>Gilbert, Arizona  85296</v>
      </c>
      <c r="I9" s="1" t="str">
        <f t="shared" si="3"/>
        <v>Gilbert, A</v>
      </c>
      <c r="J9" s="1" t="str">
        <f t="shared" si="4"/>
        <v>85296</v>
      </c>
      <c r="K9" s="1">
        <f t="shared" si="5"/>
        <v>23</v>
      </c>
      <c r="L9" s="1">
        <f t="shared" si="6"/>
        <v>22</v>
      </c>
      <c r="M9" s="1" t="str">
        <f t="shared" si="7"/>
        <v>Gilbert, Arizona  85296 - 173989</v>
      </c>
      <c r="N9" s="1" t="str">
        <f t="shared" si="8"/>
        <v>Gilbert, Arizona  85296 - 173989</v>
      </c>
      <c r="P9" s="1">
        <f t="shared" si="9"/>
        <v>85296</v>
      </c>
      <c r="Q9" s="1">
        <f t="shared" si="10"/>
        <v>10</v>
      </c>
      <c r="R9" s="1">
        <f t="shared" si="11"/>
        <v>10</v>
      </c>
      <c r="X9" s="1" t="str">
        <f t="shared" si="13"/>
        <v>85296</v>
      </c>
    </row>
    <row r="10" spans="2:25" ht="20.100000000000001" customHeight="1" x14ac:dyDescent="0.25">
      <c r="B10" s="1" t="s">
        <v>29</v>
      </c>
      <c r="C10" s="1">
        <v>239435</v>
      </c>
      <c r="D10" s="1">
        <v>73</v>
      </c>
      <c r="F10" s="1" t="str">
        <f t="shared" si="0"/>
        <v>glendale, arizona  85302</v>
      </c>
      <c r="G10" s="1" t="str">
        <f t="shared" si="1"/>
        <v>GLENDALE, ARIZONA  85302</v>
      </c>
      <c r="H10" s="1" t="str">
        <f t="shared" si="2"/>
        <v>Glendale, Arizona  85302</v>
      </c>
      <c r="I10" s="1" t="str">
        <f t="shared" si="3"/>
        <v xml:space="preserve">Glendale, </v>
      </c>
      <c r="J10" s="1" t="str">
        <f t="shared" si="4"/>
        <v>85302</v>
      </c>
      <c r="K10" s="1">
        <f t="shared" si="5"/>
        <v>24</v>
      </c>
      <c r="L10" s="1">
        <f t="shared" si="6"/>
        <v>23</v>
      </c>
      <c r="M10" s="1" t="str">
        <f t="shared" si="7"/>
        <v>Glendale, Arizona  85302 - 239435</v>
      </c>
      <c r="N10" s="1" t="str">
        <f t="shared" si="8"/>
        <v>Glendale, Arizona  85302 - 239435</v>
      </c>
      <c r="P10" s="1">
        <f t="shared" si="9"/>
        <v>85302</v>
      </c>
      <c r="Q10" s="1">
        <f t="shared" si="10"/>
        <v>11</v>
      </c>
      <c r="R10" s="1">
        <f t="shared" si="11"/>
        <v>6</v>
      </c>
      <c r="X10" s="1" t="str">
        <f t="shared" si="13"/>
        <v>85302</v>
      </c>
    </row>
    <row r="11" spans="2:25" ht="20.100000000000001" customHeight="1" x14ac:dyDescent="0.25">
      <c r="B11" s="1" t="s">
        <v>30</v>
      </c>
      <c r="C11" s="1">
        <v>442780</v>
      </c>
      <c r="D11" s="1">
        <v>41</v>
      </c>
      <c r="F11" s="1" t="str">
        <f t="shared" si="0"/>
        <v>mesa, arizona  85201</v>
      </c>
      <c r="G11" s="1" t="str">
        <f t="shared" si="1"/>
        <v>MESA, ARIZONA  85201</v>
      </c>
      <c r="H11" s="1" t="str">
        <f t="shared" si="2"/>
        <v>Mesa, Arizona  85201</v>
      </c>
      <c r="I11" s="1" t="str">
        <f t="shared" si="3"/>
        <v>Mesa, Ariz</v>
      </c>
      <c r="J11" s="1" t="str">
        <f t="shared" si="4"/>
        <v>85201</v>
      </c>
      <c r="K11" s="1">
        <f t="shared" si="5"/>
        <v>20</v>
      </c>
      <c r="L11" s="1">
        <f t="shared" si="6"/>
        <v>19</v>
      </c>
      <c r="M11" s="1" t="str">
        <f t="shared" si="7"/>
        <v>Mesa, Arizona  85201 - 442780</v>
      </c>
      <c r="N11" s="1" t="str">
        <f t="shared" si="8"/>
        <v>Mesa, Arizona  85201 - 442780</v>
      </c>
      <c r="P11" s="1">
        <f t="shared" si="9"/>
        <v>85201</v>
      </c>
      <c r="Q11" s="1">
        <f t="shared" si="10"/>
        <v>7</v>
      </c>
      <c r="R11" s="1">
        <f t="shared" si="11"/>
        <v>4</v>
      </c>
      <c r="X11" s="1" t="str">
        <f t="shared" si="13"/>
        <v>85201</v>
      </c>
    </row>
    <row r="12" spans="2:25" ht="20.100000000000001" customHeight="1" x14ac:dyDescent="0.25">
      <c r="B12" s="1" t="s">
        <v>31</v>
      </c>
      <c r="C12" s="1">
        <v>138200</v>
      </c>
      <c r="D12" s="1">
        <v>169</v>
      </c>
      <c r="F12" s="1" t="str">
        <f t="shared" si="0"/>
        <v>peoria, arizona  85381</v>
      </c>
      <c r="G12" s="1" t="str">
        <f t="shared" si="1"/>
        <v>PEORIA, ARIZONA  85381</v>
      </c>
      <c r="H12" s="1" t="str">
        <f t="shared" si="2"/>
        <v>Peoria, Arizona  85381</v>
      </c>
      <c r="I12" s="1" t="str">
        <f t="shared" si="3"/>
        <v>Peoria, Ar</v>
      </c>
      <c r="J12" s="1" t="str">
        <f t="shared" si="4"/>
        <v>85381</v>
      </c>
      <c r="K12" s="1">
        <f t="shared" si="5"/>
        <v>22</v>
      </c>
      <c r="L12" s="1">
        <f t="shared" si="6"/>
        <v>21</v>
      </c>
      <c r="M12" s="1" t="str">
        <f t="shared" si="7"/>
        <v>Peoria, Arizona  85381 - 138200</v>
      </c>
      <c r="N12" s="1" t="str">
        <f t="shared" si="8"/>
        <v>Peoria, Arizona  85381 - 138200</v>
      </c>
      <c r="P12" s="1">
        <f t="shared" si="9"/>
        <v>85381</v>
      </c>
      <c r="Q12" s="1">
        <f t="shared" si="10"/>
        <v>9</v>
      </c>
      <c r="R12" s="1">
        <f t="shared" si="11"/>
        <v>6</v>
      </c>
      <c r="X12" s="1" t="str">
        <f t="shared" si="13"/>
        <v>85381</v>
      </c>
    </row>
    <row r="13" spans="2:25" ht="20.100000000000001" customHeight="1" x14ac:dyDescent="0.25">
      <c r="B13" s="1" t="s">
        <v>32</v>
      </c>
      <c r="C13" s="1">
        <v>1461575</v>
      </c>
      <c r="D13" s="1">
        <v>6</v>
      </c>
      <c r="F13" s="1" t="str">
        <f t="shared" si="0"/>
        <v>phoenix, arizona  85026</v>
      </c>
      <c r="G13" s="1" t="str">
        <f t="shared" si="1"/>
        <v>PHOENIX, ARIZONA  85026</v>
      </c>
      <c r="H13" s="1" t="str">
        <f t="shared" si="2"/>
        <v>Phoenix, Arizona  85026</v>
      </c>
      <c r="I13" s="1" t="str">
        <f t="shared" si="3"/>
        <v>Phoenix, A</v>
      </c>
      <c r="J13" s="1" t="str">
        <f t="shared" si="4"/>
        <v>85026</v>
      </c>
      <c r="K13" s="1">
        <f t="shared" si="5"/>
        <v>23</v>
      </c>
      <c r="L13" s="1">
        <f t="shared" si="6"/>
        <v>22</v>
      </c>
      <c r="M13" s="1" t="str">
        <f t="shared" si="7"/>
        <v>Phoenix, Arizona  85026 - 1461575</v>
      </c>
      <c r="N13" s="1" t="str">
        <f t="shared" si="8"/>
        <v>Phoenix, Arizona  85026 - 1461575</v>
      </c>
      <c r="P13" s="1">
        <f t="shared" si="9"/>
        <v>85026</v>
      </c>
      <c r="Q13" s="1">
        <f t="shared" si="10"/>
        <v>10</v>
      </c>
      <c r="R13" s="1">
        <f t="shared" si="11"/>
        <v>10</v>
      </c>
      <c r="X13" s="1" t="str">
        <f t="shared" si="13"/>
        <v>85026</v>
      </c>
    </row>
    <row r="14" spans="2:25" ht="20.100000000000001" customHeight="1" x14ac:dyDescent="0.25">
      <c r="B14" s="1" t="s">
        <v>33</v>
      </c>
      <c r="C14" s="1">
        <v>226013</v>
      </c>
      <c r="D14" s="1">
        <v>80</v>
      </c>
      <c r="F14" s="1" t="str">
        <f t="shared" si="0"/>
        <v>scottsdale, arizona  85251</v>
      </c>
      <c r="G14" s="1" t="str">
        <f t="shared" si="1"/>
        <v>SCOTTSDALE, ARIZONA  85251</v>
      </c>
      <c r="H14" s="1" t="str">
        <f t="shared" si="2"/>
        <v>Scottsdale, Arizona  85251</v>
      </c>
      <c r="I14" s="1" t="str">
        <f t="shared" si="3"/>
        <v>Scottsdale</v>
      </c>
      <c r="J14" s="1" t="str">
        <f t="shared" si="4"/>
        <v>85251</v>
      </c>
      <c r="K14" s="1">
        <f t="shared" si="5"/>
        <v>26</v>
      </c>
      <c r="L14" s="1">
        <f t="shared" si="6"/>
        <v>25</v>
      </c>
      <c r="M14" s="1" t="str">
        <f t="shared" si="7"/>
        <v>Scottsdale, Arizona  85251 - 226013</v>
      </c>
      <c r="N14" s="1" t="str">
        <f t="shared" si="8"/>
        <v>Scottsdale, Arizona  85251 - 226013</v>
      </c>
      <c r="P14" s="1">
        <f t="shared" si="9"/>
        <v>85251</v>
      </c>
      <c r="Q14" s="1">
        <f t="shared" si="10"/>
        <v>13</v>
      </c>
      <c r="R14" s="1">
        <f t="shared" si="11"/>
        <v>8</v>
      </c>
      <c r="X14" s="1" t="str">
        <f t="shared" si="13"/>
        <v>85251</v>
      </c>
    </row>
    <row r="15" spans="2:25" ht="20.100000000000001" customHeight="1" x14ac:dyDescent="0.25">
      <c r="B15" s="1" t="s">
        <v>34</v>
      </c>
      <c r="C15" s="1">
        <v>161143</v>
      </c>
      <c r="D15" s="1">
        <v>139</v>
      </c>
      <c r="F15" s="1" t="str">
        <f t="shared" si="0"/>
        <v>tempe, arizona  85282</v>
      </c>
      <c r="G15" s="1" t="str">
        <f t="shared" si="1"/>
        <v>TEMPE, ARIZONA  85282</v>
      </c>
      <c r="H15" s="1" t="str">
        <f t="shared" si="2"/>
        <v>Tempe, Arizona  85282</v>
      </c>
      <c r="I15" s="1" t="str">
        <f t="shared" si="3"/>
        <v>Tempe, Ari</v>
      </c>
      <c r="J15" s="1" t="str">
        <f t="shared" si="4"/>
        <v>85282</v>
      </c>
      <c r="K15" s="1">
        <f t="shared" si="5"/>
        <v>21</v>
      </c>
      <c r="L15" s="1">
        <f t="shared" si="6"/>
        <v>20</v>
      </c>
      <c r="M15" s="1" t="str">
        <f t="shared" si="7"/>
        <v>Tempe, Arizona  85282 - 161143</v>
      </c>
      <c r="N15" s="1" t="str">
        <f t="shared" si="8"/>
        <v>Tempe, Arizona  85282 - 161143</v>
      </c>
      <c r="P15" s="1">
        <f t="shared" si="9"/>
        <v>85282</v>
      </c>
      <c r="Q15" s="1">
        <f t="shared" si="10"/>
        <v>8</v>
      </c>
      <c r="R15" s="1">
        <f t="shared" si="11"/>
        <v>8</v>
      </c>
      <c r="X15" s="1" t="str">
        <f t="shared" si="13"/>
        <v>85282</v>
      </c>
    </row>
    <row r="16" spans="2:25" ht="20.100000000000001" customHeight="1" x14ac:dyDescent="0.25">
      <c r="B16" s="1" t="s">
        <v>35</v>
      </c>
      <c r="C16" s="1">
        <v>515526</v>
      </c>
      <c r="D16" s="1">
        <v>32</v>
      </c>
      <c r="F16" s="1" t="str">
        <f t="shared" si="0"/>
        <v>tucson, arizona  85726</v>
      </c>
      <c r="G16" s="1" t="str">
        <f t="shared" si="1"/>
        <v>TUCSON, ARIZONA  85726</v>
      </c>
      <c r="H16" s="1" t="str">
        <f t="shared" si="2"/>
        <v>Tucson, Arizona  85726</v>
      </c>
      <c r="I16" s="1" t="str">
        <f t="shared" si="3"/>
        <v>Tucson, Ar</v>
      </c>
      <c r="J16" s="1" t="str">
        <f t="shared" si="4"/>
        <v>85726</v>
      </c>
      <c r="K16" s="1">
        <f t="shared" si="5"/>
        <v>22</v>
      </c>
      <c r="L16" s="1">
        <f t="shared" si="6"/>
        <v>21</v>
      </c>
      <c r="M16" s="1" t="str">
        <f t="shared" si="7"/>
        <v>Tucson, Arizona  85726 - 515526</v>
      </c>
      <c r="N16" s="1" t="str">
        <f t="shared" si="8"/>
        <v>Tucson, Arizona  85726 - 515526</v>
      </c>
      <c r="P16" s="1">
        <f t="shared" si="9"/>
        <v>85726</v>
      </c>
      <c r="Q16" s="1">
        <f t="shared" si="10"/>
        <v>9</v>
      </c>
      <c r="R16" s="1">
        <f t="shared" si="11"/>
        <v>9</v>
      </c>
      <c r="X16" s="1" t="str">
        <f t="shared" si="13"/>
        <v>85726</v>
      </c>
    </row>
    <row r="17" spans="2:24" ht="20.100000000000001" customHeight="1" x14ac:dyDescent="0.25">
      <c r="B17" s="1" t="s">
        <v>36</v>
      </c>
      <c r="C17" s="1">
        <v>184564</v>
      </c>
      <c r="D17" s="1">
        <v>116</v>
      </c>
      <c r="F17" s="1" t="str">
        <f t="shared" si="0"/>
        <v>little rock, arkansas  72202</v>
      </c>
      <c r="G17" s="1" t="str">
        <f t="shared" si="1"/>
        <v>LITTLE ROCK, ARKANSAS  72202</v>
      </c>
      <c r="H17" s="1" t="str">
        <f t="shared" si="2"/>
        <v>Little Rock, Arkansas  72202</v>
      </c>
      <c r="I17" s="1" t="str">
        <f t="shared" si="3"/>
        <v>Little Roc</v>
      </c>
      <c r="J17" s="1" t="str">
        <f t="shared" si="4"/>
        <v>72202</v>
      </c>
      <c r="K17" s="1">
        <f t="shared" si="5"/>
        <v>28</v>
      </c>
      <c r="L17" s="1">
        <f t="shared" si="6"/>
        <v>27</v>
      </c>
      <c r="M17" s="1" t="str">
        <f t="shared" si="7"/>
        <v>Little Rock, Arkansas  72202 - 184564</v>
      </c>
      <c r="N17" s="1" t="str">
        <f t="shared" si="8"/>
        <v>Little Rock, Arkansas  72202 - 184564</v>
      </c>
      <c r="P17" s="1">
        <f t="shared" si="9"/>
        <v>72202</v>
      </c>
      <c r="Q17" s="1">
        <f t="shared" si="10"/>
        <v>14</v>
      </c>
      <c r="R17" s="1">
        <f t="shared" si="11"/>
        <v>14</v>
      </c>
      <c r="X17" s="1" t="str">
        <f t="shared" si="13"/>
        <v>72202</v>
      </c>
    </row>
    <row r="18" spans="2:24" ht="20.100000000000001" customHeight="1" x14ac:dyDescent="0.25">
      <c r="B18" s="1" t="s">
        <v>37</v>
      </c>
      <c r="C18" s="1">
        <v>331804</v>
      </c>
      <c r="D18" s="1">
        <v>55</v>
      </c>
      <c r="F18" s="1" t="str">
        <f t="shared" si="0"/>
        <v>anaheim, california  92803</v>
      </c>
      <c r="G18" s="1" t="str">
        <f t="shared" si="1"/>
        <v>ANAHEIM, CALIFORNIA  92803</v>
      </c>
      <c r="H18" s="1" t="str">
        <f t="shared" si="2"/>
        <v>Anaheim, California  92803</v>
      </c>
      <c r="I18" s="1" t="str">
        <f t="shared" si="3"/>
        <v>Anaheim, C</v>
      </c>
      <c r="J18" s="1" t="str">
        <f t="shared" si="4"/>
        <v>92803</v>
      </c>
      <c r="K18" s="1">
        <f t="shared" si="5"/>
        <v>26</v>
      </c>
      <c r="L18" s="1">
        <f t="shared" si="6"/>
        <v>25</v>
      </c>
      <c r="M18" s="1" t="str">
        <f t="shared" si="7"/>
        <v>Anaheim, California  92803 - 331804</v>
      </c>
      <c r="N18" s="1" t="str">
        <f t="shared" si="8"/>
        <v>Anaheim, California  92803 - 331804</v>
      </c>
      <c r="P18" s="1">
        <f t="shared" si="9"/>
        <v>92803</v>
      </c>
      <c r="Q18" s="1">
        <f t="shared" si="10"/>
        <v>1</v>
      </c>
      <c r="R18" s="1">
        <f t="shared" si="11"/>
        <v>1</v>
      </c>
      <c r="X18" s="1" t="str">
        <f t="shared" si="13"/>
        <v>92803</v>
      </c>
    </row>
    <row r="19" spans="2:24" ht="20.100000000000001" customHeight="1" x14ac:dyDescent="0.25">
      <c r="B19" s="1" t="s">
        <v>38</v>
      </c>
      <c r="C19" s="1">
        <v>100631</v>
      </c>
      <c r="D19" s="1">
        <v>249</v>
      </c>
      <c r="F19" s="1" t="str">
        <f>LOWER(B19)</f>
        <v>antioch, california  94509</v>
      </c>
      <c r="G19" s="1" t="str">
        <f>UPPER(B19)</f>
        <v>ANTIOCH, CALIFORNIA  94509</v>
      </c>
      <c r="H19" s="1" t="str">
        <f t="shared" si="2"/>
        <v>Antioch, California  94509</v>
      </c>
      <c r="I19" s="1" t="str">
        <f t="shared" si="3"/>
        <v>Antioch, C</v>
      </c>
      <c r="J19" s="1" t="str">
        <f t="shared" si="4"/>
        <v>94509</v>
      </c>
      <c r="K19" s="1">
        <f t="shared" si="5"/>
        <v>26</v>
      </c>
      <c r="L19" s="1">
        <f t="shared" si="6"/>
        <v>25</v>
      </c>
      <c r="M19" s="1" t="str">
        <f t="shared" si="7"/>
        <v>Antioch, California  94509 - 100631</v>
      </c>
      <c r="N19" s="1" t="str">
        <f t="shared" si="8"/>
        <v>Antioch, California  94509 - 100631</v>
      </c>
      <c r="P19" s="1">
        <f t="shared" si="9"/>
        <v>94509</v>
      </c>
      <c r="Q19" s="1">
        <f t="shared" si="10"/>
        <v>1</v>
      </c>
      <c r="R19" s="1">
        <f t="shared" si="11"/>
        <v>1</v>
      </c>
      <c r="X19" s="1" t="str">
        <f t="shared" si="13"/>
        <v>94509</v>
      </c>
    </row>
    <row r="20" spans="2:24" ht="20.100000000000001" customHeight="1" x14ac:dyDescent="0.25">
      <c r="B20" s="1" t="s">
        <v>39</v>
      </c>
      <c r="C20" s="1">
        <v>295536</v>
      </c>
      <c r="D20" s="1">
        <v>61</v>
      </c>
      <c r="F20" s="1" t="str">
        <f t="shared" ref="F20:F83" si="14">LOWER(B20)</f>
        <v>bakersfield, california  93380</v>
      </c>
      <c r="G20" s="1" t="str">
        <f t="shared" ref="G20:G35" si="15">UPPER(B20)</f>
        <v>BAKERSFIELD, CALIFORNIA  93380</v>
      </c>
      <c r="H20" s="1" t="str">
        <f t="shared" si="2"/>
        <v>Bakersfield, California  93380</v>
      </c>
      <c r="I20" s="1" t="str">
        <f t="shared" si="3"/>
        <v>Bakersfiel</v>
      </c>
      <c r="J20" s="1" t="str">
        <f t="shared" si="4"/>
        <v>93380</v>
      </c>
      <c r="K20" s="1">
        <f t="shared" si="5"/>
        <v>30</v>
      </c>
      <c r="L20" s="1">
        <f t="shared" si="6"/>
        <v>29</v>
      </c>
      <c r="M20" s="1" t="str">
        <f t="shared" si="7"/>
        <v>Bakersfield, California  93380 - 295536</v>
      </c>
      <c r="N20" s="1" t="str">
        <f t="shared" si="8"/>
        <v>Bakersfield, California  93380 - 295536</v>
      </c>
      <c r="P20" s="1">
        <f t="shared" si="9"/>
        <v>93380</v>
      </c>
      <c r="Q20" s="1" t="e">
        <f t="shared" si="10"/>
        <v>#VALUE!</v>
      </c>
      <c r="R20" s="1">
        <f t="shared" si="11"/>
        <v>2</v>
      </c>
      <c r="X20" s="1" t="str">
        <f t="shared" si="13"/>
        <v>93380</v>
      </c>
    </row>
    <row r="21" spans="2:24" ht="20.100000000000001" customHeight="1" x14ac:dyDescent="0.25">
      <c r="B21" s="1" t="s">
        <v>40</v>
      </c>
      <c r="C21" s="1">
        <v>100744</v>
      </c>
      <c r="D21" s="1">
        <v>248</v>
      </c>
      <c r="F21" s="1" t="str">
        <f t="shared" si="14"/>
        <v>berkeley, california  94704</v>
      </c>
      <c r="G21" s="1" t="str">
        <f t="shared" si="15"/>
        <v>BERKELEY, CALIFORNIA  94704</v>
      </c>
      <c r="H21" s="1" t="str">
        <f t="shared" si="2"/>
        <v>Berkeley, California  94704</v>
      </c>
      <c r="I21" s="1" t="str">
        <f t="shared" si="3"/>
        <v xml:space="preserve">Berkeley, </v>
      </c>
      <c r="J21" s="1" t="str">
        <f t="shared" si="4"/>
        <v>94704</v>
      </c>
      <c r="K21" s="1">
        <f t="shared" si="5"/>
        <v>27</v>
      </c>
      <c r="L21" s="1">
        <f t="shared" si="6"/>
        <v>26</v>
      </c>
      <c r="M21" s="1" t="str">
        <f t="shared" si="7"/>
        <v>Berkeley, California  94704 - 100744</v>
      </c>
      <c r="N21" s="1" t="str">
        <f t="shared" si="8"/>
        <v>Berkeley, California  94704 - 100744</v>
      </c>
      <c r="P21" s="1">
        <f t="shared" si="9"/>
        <v>94704</v>
      </c>
      <c r="Q21" s="1" t="e">
        <f t="shared" si="10"/>
        <v>#VALUE!</v>
      </c>
      <c r="R21" s="1">
        <f t="shared" si="11"/>
        <v>12</v>
      </c>
      <c r="X21" s="1" t="str">
        <f t="shared" si="13"/>
        <v>94704</v>
      </c>
    </row>
    <row r="22" spans="2:24" ht="20.100000000000001" customHeight="1" x14ac:dyDescent="0.25">
      <c r="B22" s="1" t="s">
        <v>41</v>
      </c>
      <c r="C22" s="1">
        <v>104108</v>
      </c>
      <c r="D22" s="1">
        <v>238</v>
      </c>
      <c r="F22" s="1" t="str">
        <f t="shared" si="14"/>
        <v>burbank, california  91505</v>
      </c>
      <c r="G22" s="1" t="str">
        <f t="shared" si="15"/>
        <v>BURBANK, CALIFORNIA  91505</v>
      </c>
      <c r="H22" s="1" t="str">
        <f t="shared" si="2"/>
        <v>Burbank, California  91505</v>
      </c>
      <c r="I22" s="1" t="str">
        <f t="shared" si="3"/>
        <v>Burbank, C</v>
      </c>
      <c r="J22" s="1" t="str">
        <f t="shared" si="4"/>
        <v>91505</v>
      </c>
      <c r="K22" s="1">
        <f t="shared" si="5"/>
        <v>26</v>
      </c>
      <c r="L22" s="1">
        <f t="shared" si="6"/>
        <v>25</v>
      </c>
      <c r="M22" s="1" t="str">
        <f t="shared" si="7"/>
        <v>Burbank, California  91505 - 104108</v>
      </c>
      <c r="N22" s="1" t="str">
        <f t="shared" si="8"/>
        <v>Burbank, California  91505 - 104108</v>
      </c>
      <c r="P22" s="1">
        <f t="shared" si="9"/>
        <v>91505</v>
      </c>
      <c r="Q22" s="1" t="e">
        <f t="shared" si="10"/>
        <v>#VALUE!</v>
      </c>
      <c r="R22" s="1">
        <f t="shared" si="11"/>
        <v>5</v>
      </c>
      <c r="X22" s="1" t="str">
        <f t="shared" si="13"/>
        <v>91505</v>
      </c>
    </row>
    <row r="23" spans="2:24" ht="20.100000000000001" customHeight="1" x14ac:dyDescent="0.25">
      <c r="B23" s="1" t="s">
        <v>42</v>
      </c>
      <c r="C23" s="1">
        <v>210497</v>
      </c>
      <c r="D23" s="1">
        <v>90</v>
      </c>
      <c r="F23" s="1" t="str">
        <f t="shared" si="14"/>
        <v>chula vista, california  91910</v>
      </c>
      <c r="G23" s="1" t="str">
        <f t="shared" si="15"/>
        <v>CHULA VISTA, CALIFORNIA  91910</v>
      </c>
      <c r="H23" s="1" t="str">
        <f t="shared" si="2"/>
        <v>Chula Vista, California  91910</v>
      </c>
      <c r="I23" s="1" t="str">
        <f t="shared" si="3"/>
        <v>Chula Vist</v>
      </c>
      <c r="J23" s="1" t="str">
        <f t="shared" si="4"/>
        <v>91910</v>
      </c>
      <c r="K23" s="1">
        <f t="shared" si="5"/>
        <v>30</v>
      </c>
      <c r="L23" s="1">
        <f t="shared" si="6"/>
        <v>29</v>
      </c>
      <c r="M23" s="1" t="str">
        <f t="shared" si="7"/>
        <v>Chula Vista, California  91910 - 210497</v>
      </c>
      <c r="N23" s="1" t="str">
        <f t="shared" si="8"/>
        <v>Chula Vista, California  91910 - 210497</v>
      </c>
      <c r="P23" s="1">
        <f t="shared" si="9"/>
        <v>91910</v>
      </c>
      <c r="Q23" s="1" t="e">
        <f t="shared" si="10"/>
        <v>#VALUE!</v>
      </c>
      <c r="R23" s="1">
        <f t="shared" si="11"/>
        <v>5</v>
      </c>
      <c r="X23" s="1" t="str">
        <f t="shared" si="13"/>
        <v>91910</v>
      </c>
    </row>
    <row r="24" spans="2:24" ht="20.100000000000001" customHeight="1" x14ac:dyDescent="0.25">
      <c r="B24" s="1" t="s">
        <v>43</v>
      </c>
      <c r="C24" s="1">
        <v>123252</v>
      </c>
      <c r="D24" s="1">
        <v>191</v>
      </c>
      <c r="F24" s="1" t="str">
        <f t="shared" si="14"/>
        <v>concord, california  94520</v>
      </c>
      <c r="G24" s="1" t="str">
        <f t="shared" si="15"/>
        <v>CONCORD, CALIFORNIA  94520</v>
      </c>
      <c r="H24" s="1" t="str">
        <f t="shared" si="2"/>
        <v>Concord, California  94520</v>
      </c>
      <c r="I24" s="1" t="str">
        <f t="shared" si="3"/>
        <v>Concord, C</v>
      </c>
      <c r="J24" s="1" t="str">
        <f t="shared" si="4"/>
        <v>94520</v>
      </c>
      <c r="K24" s="1">
        <f t="shared" si="5"/>
        <v>26</v>
      </c>
      <c r="L24" s="1">
        <f t="shared" si="6"/>
        <v>25</v>
      </c>
      <c r="M24" s="1" t="str">
        <f t="shared" si="7"/>
        <v>Concord, California  94520 - 123252</v>
      </c>
      <c r="N24" s="1" t="str">
        <f t="shared" si="8"/>
        <v>Concord, California  94520 - 123252</v>
      </c>
      <c r="P24" s="1">
        <f t="shared" si="9"/>
        <v>94520</v>
      </c>
      <c r="Q24" s="1" t="e">
        <f t="shared" si="10"/>
        <v>#VALUE!</v>
      </c>
      <c r="R24" s="1">
        <f t="shared" si="11"/>
        <v>11</v>
      </c>
      <c r="X24" s="1" t="str">
        <f t="shared" si="13"/>
        <v>94520</v>
      </c>
    </row>
    <row r="25" spans="2:24" ht="20.100000000000001" customHeight="1" x14ac:dyDescent="0.25">
      <c r="B25" s="1" t="s">
        <v>44</v>
      </c>
      <c r="C25" s="1">
        <v>149387</v>
      </c>
      <c r="D25" s="1">
        <v>151</v>
      </c>
      <c r="F25" s="1" t="str">
        <f t="shared" si="14"/>
        <v>corona, california  91718</v>
      </c>
      <c r="G25" s="1" t="str">
        <f t="shared" si="15"/>
        <v>CORONA, CALIFORNIA  91718</v>
      </c>
      <c r="H25" s="1" t="str">
        <f t="shared" si="2"/>
        <v>Corona, California  91718</v>
      </c>
      <c r="I25" s="1" t="str">
        <f t="shared" si="3"/>
        <v>Corona, Ca</v>
      </c>
      <c r="J25" s="1" t="str">
        <f t="shared" si="4"/>
        <v>91718</v>
      </c>
      <c r="K25" s="1">
        <f t="shared" si="5"/>
        <v>25</v>
      </c>
      <c r="L25" s="1">
        <f t="shared" si="6"/>
        <v>24</v>
      </c>
      <c r="M25" s="1" t="str">
        <f t="shared" si="7"/>
        <v>Corona, California  91718 - 149387</v>
      </c>
      <c r="N25" s="1" t="str">
        <f t="shared" si="8"/>
        <v>Corona, California  91718 - 149387</v>
      </c>
      <c r="P25" s="1">
        <f t="shared" si="9"/>
        <v>91718</v>
      </c>
      <c r="Q25" s="1" t="e">
        <f t="shared" si="10"/>
        <v>#VALUE!</v>
      </c>
      <c r="R25" s="1">
        <f t="shared" si="11"/>
        <v>6</v>
      </c>
      <c r="X25" s="1" t="str">
        <f t="shared" si="13"/>
        <v>91718</v>
      </c>
    </row>
    <row r="26" spans="2:24" ht="20.100000000000001" customHeight="1" x14ac:dyDescent="0.25">
      <c r="B26" s="1" t="s">
        <v>45</v>
      </c>
      <c r="C26" s="1">
        <v>109830</v>
      </c>
      <c r="D26" s="1">
        <v>217</v>
      </c>
      <c r="F26" s="1" t="str">
        <f t="shared" si="14"/>
        <v>costa mesa, california  92628</v>
      </c>
      <c r="G26" s="1" t="str">
        <f t="shared" si="15"/>
        <v>COSTA MESA, CALIFORNIA  92628</v>
      </c>
      <c r="H26" s="1" t="str">
        <f t="shared" si="2"/>
        <v>Costa Mesa, California  92628</v>
      </c>
      <c r="I26" s="1" t="str">
        <f t="shared" si="3"/>
        <v>Costa Mesa</v>
      </c>
      <c r="J26" s="1" t="str">
        <f t="shared" si="4"/>
        <v>92628</v>
      </c>
      <c r="K26" s="1">
        <f t="shared" si="5"/>
        <v>29</v>
      </c>
      <c r="L26" s="1">
        <f t="shared" si="6"/>
        <v>28</v>
      </c>
      <c r="M26" s="1" t="str">
        <f t="shared" si="7"/>
        <v>Costa Mesa, California  92628 - 109830</v>
      </c>
      <c r="N26" s="1" t="str">
        <f t="shared" si="8"/>
        <v>Costa Mesa, California  92628 - 109830</v>
      </c>
      <c r="P26" s="1">
        <f t="shared" si="9"/>
        <v>92628</v>
      </c>
      <c r="Q26" s="1" t="e">
        <f t="shared" si="10"/>
        <v>#VALUE!</v>
      </c>
      <c r="R26" s="1">
        <f t="shared" si="11"/>
        <v>5</v>
      </c>
      <c r="X26" s="1" t="str">
        <f t="shared" si="13"/>
        <v>92628</v>
      </c>
    </row>
    <row r="27" spans="2:24" ht="20.100000000000001" customHeight="1" x14ac:dyDescent="0.25">
      <c r="B27" s="1" t="s">
        <v>46</v>
      </c>
      <c r="C27" s="1">
        <v>100339</v>
      </c>
      <c r="D27" s="1">
        <v>250</v>
      </c>
      <c r="F27" s="1" t="str">
        <f t="shared" si="14"/>
        <v>daly city, california  94015</v>
      </c>
      <c r="G27" s="1" t="str">
        <f t="shared" si="15"/>
        <v>DALY CITY, CALIFORNIA  94015</v>
      </c>
      <c r="H27" s="1" t="str">
        <f t="shared" si="2"/>
        <v>Daly City, California  94015</v>
      </c>
      <c r="I27" s="1" t="str">
        <f t="shared" si="3"/>
        <v>Daly City,</v>
      </c>
      <c r="J27" s="1" t="str">
        <f t="shared" si="4"/>
        <v>94015</v>
      </c>
      <c r="K27" s="1">
        <f t="shared" si="5"/>
        <v>28</v>
      </c>
      <c r="L27" s="1">
        <f t="shared" si="6"/>
        <v>27</v>
      </c>
      <c r="M27" s="1" t="str">
        <f t="shared" si="7"/>
        <v>Daly City, California  94015 - 100339</v>
      </c>
      <c r="N27" s="1" t="str">
        <f t="shared" si="8"/>
        <v>Daly City, California  94015 - 100339</v>
      </c>
      <c r="P27" s="1">
        <f t="shared" si="9"/>
        <v>94015</v>
      </c>
      <c r="Q27" s="1" t="e">
        <f t="shared" si="10"/>
        <v>#VALUE!</v>
      </c>
      <c r="R27" s="1">
        <f t="shared" si="11"/>
        <v>2</v>
      </c>
      <c r="X27" s="1" t="str">
        <f t="shared" si="13"/>
        <v>94015</v>
      </c>
    </row>
    <row r="28" spans="2:24" ht="20.100000000000001" customHeight="1" x14ac:dyDescent="0.25">
      <c r="B28" s="1" t="s">
        <v>47</v>
      </c>
      <c r="C28" s="1">
        <v>109718</v>
      </c>
      <c r="D28" s="1">
        <v>218</v>
      </c>
      <c r="F28" s="1" t="str">
        <f t="shared" si="14"/>
        <v>downey, california  90241</v>
      </c>
      <c r="G28" s="1" t="str">
        <f t="shared" si="15"/>
        <v>DOWNEY, CALIFORNIA  90241</v>
      </c>
      <c r="H28" s="1" t="str">
        <f t="shared" si="2"/>
        <v>Downey, California  90241</v>
      </c>
      <c r="I28" s="1" t="str">
        <f t="shared" si="3"/>
        <v>Downey, Ca</v>
      </c>
      <c r="J28" s="1" t="str">
        <f t="shared" si="4"/>
        <v>90241</v>
      </c>
      <c r="K28" s="1">
        <f t="shared" si="5"/>
        <v>25</v>
      </c>
      <c r="L28" s="1">
        <f t="shared" si="6"/>
        <v>24</v>
      </c>
      <c r="M28" s="1" t="str">
        <f t="shared" si="7"/>
        <v>Downey, California  90241 - 109718</v>
      </c>
      <c r="N28" s="1" t="str">
        <f t="shared" si="8"/>
        <v>Downey, California  90241 - 109718</v>
      </c>
      <c r="P28" s="1">
        <f t="shared" si="9"/>
        <v>90241</v>
      </c>
      <c r="Q28" s="1" t="e">
        <f t="shared" si="10"/>
        <v>#VALUE!</v>
      </c>
      <c r="R28" s="1">
        <f t="shared" si="11"/>
        <v>10</v>
      </c>
      <c r="X28" s="1" t="str">
        <f t="shared" si="13"/>
        <v>90241</v>
      </c>
    </row>
    <row r="29" spans="2:24" ht="20.100000000000001" customHeight="1" x14ac:dyDescent="0.25">
      <c r="B29" s="1" t="s">
        <v>48</v>
      </c>
      <c r="C29" s="1">
        <v>122513</v>
      </c>
      <c r="D29" s="1">
        <v>193</v>
      </c>
      <c r="F29" s="1" t="str">
        <f t="shared" si="14"/>
        <v>el monte, california  91734</v>
      </c>
      <c r="G29" s="1" t="str">
        <f t="shared" si="15"/>
        <v>EL MONTE, CALIFORNIA  91734</v>
      </c>
      <c r="H29" s="1" t="str">
        <f t="shared" si="2"/>
        <v>El Monte, California  91734</v>
      </c>
      <c r="I29" s="1" t="str">
        <f t="shared" si="3"/>
        <v xml:space="preserve">El Monte, </v>
      </c>
      <c r="J29" s="1" t="str">
        <f t="shared" si="4"/>
        <v>91734</v>
      </c>
      <c r="K29" s="1">
        <f t="shared" si="5"/>
        <v>27</v>
      </c>
      <c r="L29" s="1">
        <f t="shared" si="6"/>
        <v>26</v>
      </c>
      <c r="M29" s="1" t="str">
        <f t="shared" si="7"/>
        <v>El Monte, California  91734 - 122513</v>
      </c>
      <c r="N29" s="1" t="str">
        <f t="shared" si="8"/>
        <v>El Monte, California  91734 - 122513</v>
      </c>
      <c r="P29" s="1">
        <f t="shared" si="9"/>
        <v>91734</v>
      </c>
      <c r="Q29" s="1" t="e">
        <f t="shared" si="10"/>
        <v>#VALUE!</v>
      </c>
      <c r="R29" s="1">
        <f t="shared" si="11"/>
        <v>12</v>
      </c>
      <c r="X29" s="1" t="str">
        <f t="shared" si="13"/>
        <v>91734</v>
      </c>
    </row>
    <row r="30" spans="2:24" ht="20.100000000000001" customHeight="1" x14ac:dyDescent="0.25">
      <c r="B30" s="1" t="s">
        <v>49</v>
      </c>
      <c r="C30" s="1">
        <v>112338</v>
      </c>
      <c r="D30" s="1">
        <v>212</v>
      </c>
      <c r="F30" s="1" t="str">
        <f t="shared" si="14"/>
        <v>elk grove, california  95624</v>
      </c>
      <c r="G30" s="1" t="str">
        <f t="shared" si="15"/>
        <v>ELK GROVE, CALIFORNIA  95624</v>
      </c>
      <c r="H30" s="1" t="str">
        <f t="shared" si="2"/>
        <v>Elk Grove, California  95624</v>
      </c>
      <c r="I30" s="1" t="str">
        <f t="shared" si="3"/>
        <v>Elk Grove,</v>
      </c>
      <c r="J30" s="1" t="str">
        <f t="shared" si="4"/>
        <v>95624</v>
      </c>
      <c r="K30" s="1">
        <f t="shared" si="5"/>
        <v>28</v>
      </c>
      <c r="L30" s="1">
        <f t="shared" si="6"/>
        <v>27</v>
      </c>
      <c r="M30" s="1" t="str">
        <f t="shared" si="7"/>
        <v>Elk Grove, California  95624 - 112338</v>
      </c>
      <c r="N30" s="1" t="str">
        <f t="shared" si="8"/>
        <v>Elk Grove, California  95624 - 112338</v>
      </c>
      <c r="P30" s="1">
        <f t="shared" si="9"/>
        <v>95624</v>
      </c>
      <c r="Q30" s="1" t="e">
        <f t="shared" si="10"/>
        <v>#VALUE!</v>
      </c>
      <c r="R30" s="1">
        <f t="shared" si="11"/>
        <v>13</v>
      </c>
      <c r="X30" s="1" t="str">
        <f t="shared" si="13"/>
        <v>95624</v>
      </c>
    </row>
    <row r="31" spans="2:24" ht="20.100000000000001" customHeight="1" x14ac:dyDescent="0.25">
      <c r="B31" s="1" t="s">
        <v>50</v>
      </c>
      <c r="C31" s="1">
        <v>134085</v>
      </c>
      <c r="D31" s="1">
        <v>175</v>
      </c>
      <c r="F31" s="1" t="str">
        <f t="shared" si="14"/>
        <v>escondido, california  92025</v>
      </c>
      <c r="G31" s="1" t="str">
        <f t="shared" si="15"/>
        <v>ESCONDIDO, CALIFORNIA  92025</v>
      </c>
      <c r="H31" s="1" t="str">
        <f t="shared" si="2"/>
        <v>Escondido, California  92025</v>
      </c>
      <c r="I31" s="1" t="str">
        <f t="shared" si="3"/>
        <v>Escondido,</v>
      </c>
      <c r="J31" s="1" t="str">
        <f t="shared" si="4"/>
        <v>92025</v>
      </c>
      <c r="K31" s="1">
        <f t="shared" si="5"/>
        <v>28</v>
      </c>
      <c r="L31" s="1">
        <f t="shared" si="6"/>
        <v>27</v>
      </c>
      <c r="M31" s="1" t="str">
        <f t="shared" si="7"/>
        <v>Escondido, California  92025 - 134085</v>
      </c>
      <c r="N31" s="1" t="str">
        <f t="shared" si="8"/>
        <v>Escondido, California  92025 - 134085</v>
      </c>
      <c r="P31" s="1">
        <f t="shared" si="9"/>
        <v>92025</v>
      </c>
      <c r="Q31" s="1" t="e">
        <f t="shared" si="10"/>
        <v>#VALUE!</v>
      </c>
      <c r="R31" s="1">
        <f t="shared" si="11"/>
        <v>13</v>
      </c>
      <c r="X31" s="1" t="str">
        <f t="shared" si="13"/>
        <v>92025</v>
      </c>
    </row>
    <row r="32" spans="2:24" ht="20.100000000000001" customHeight="1" x14ac:dyDescent="0.25">
      <c r="B32" s="1" t="s">
        <v>51</v>
      </c>
      <c r="C32" s="1">
        <v>104476</v>
      </c>
      <c r="D32" s="1">
        <v>235</v>
      </c>
      <c r="F32" s="1" t="str">
        <f t="shared" si="14"/>
        <v>fairfield, california  94533</v>
      </c>
      <c r="G32" s="1" t="str">
        <f t="shared" si="15"/>
        <v>FAIRFIELD, CALIFORNIA  94533</v>
      </c>
      <c r="H32" s="1" t="str">
        <f t="shared" si="2"/>
        <v>Fairfield, California  94533</v>
      </c>
      <c r="I32" s="1" t="str">
        <f t="shared" si="3"/>
        <v>Fairfield,</v>
      </c>
      <c r="J32" s="1" t="str">
        <f t="shared" si="4"/>
        <v>94533</v>
      </c>
      <c r="K32" s="1">
        <f t="shared" si="5"/>
        <v>28</v>
      </c>
      <c r="L32" s="1">
        <f t="shared" si="6"/>
        <v>27</v>
      </c>
      <c r="M32" s="1" t="str">
        <f t="shared" si="7"/>
        <v>Fairfield, California  94533 - 104476</v>
      </c>
      <c r="N32" s="1" t="str">
        <f t="shared" si="8"/>
        <v>Fairfield, California  94533 - 104476</v>
      </c>
      <c r="P32" s="1">
        <f t="shared" si="9"/>
        <v>94533</v>
      </c>
      <c r="Q32" s="1" t="e">
        <f t="shared" si="10"/>
        <v>#VALUE!</v>
      </c>
      <c r="R32" s="1">
        <f t="shared" si="11"/>
        <v>2</v>
      </c>
      <c r="X32" s="1" t="str">
        <f t="shared" si="13"/>
        <v>94533</v>
      </c>
    </row>
    <row r="33" spans="2:24" ht="20.100000000000001" customHeight="1" x14ac:dyDescent="0.25">
      <c r="B33" s="1" t="s">
        <v>52</v>
      </c>
      <c r="C33" s="1">
        <v>163860</v>
      </c>
      <c r="D33" s="1">
        <v>138</v>
      </c>
      <c r="F33" s="1" t="str">
        <f t="shared" si="14"/>
        <v>fontana, california  92335</v>
      </c>
      <c r="G33" s="1" t="str">
        <f t="shared" si="15"/>
        <v>FONTANA, CALIFORNIA  92335</v>
      </c>
      <c r="H33" s="1" t="str">
        <f t="shared" si="2"/>
        <v>Fontana, California  92335</v>
      </c>
      <c r="I33" s="1" t="str">
        <f t="shared" si="3"/>
        <v>Fontana, C</v>
      </c>
      <c r="J33" s="1" t="str">
        <f t="shared" si="4"/>
        <v>92335</v>
      </c>
      <c r="K33" s="1">
        <f t="shared" si="5"/>
        <v>26</v>
      </c>
      <c r="L33" s="1">
        <f t="shared" si="6"/>
        <v>25</v>
      </c>
      <c r="M33" s="1" t="str">
        <f t="shared" si="7"/>
        <v>Fontana, California  92335 - 163860</v>
      </c>
      <c r="N33" s="1" t="str">
        <f t="shared" si="8"/>
        <v>Fontana, California  92335 - 163860</v>
      </c>
      <c r="P33" s="1">
        <f t="shared" si="9"/>
        <v>92335</v>
      </c>
      <c r="Q33" s="1" t="e">
        <f t="shared" si="10"/>
        <v>#VALUE!</v>
      </c>
      <c r="R33" s="1">
        <f t="shared" si="11"/>
        <v>5</v>
      </c>
      <c r="X33" s="1" t="str">
        <f t="shared" si="13"/>
        <v>92335</v>
      </c>
    </row>
    <row r="34" spans="2:24" ht="20.100000000000001" customHeight="1" x14ac:dyDescent="0.25">
      <c r="B34" s="1" t="s">
        <v>53</v>
      </c>
      <c r="C34" s="1">
        <v>200468</v>
      </c>
      <c r="D34" s="1">
        <v>96</v>
      </c>
      <c r="F34" s="1" t="str">
        <f t="shared" si="14"/>
        <v>fremont, california  94537</v>
      </c>
      <c r="G34" s="1" t="str">
        <f t="shared" si="15"/>
        <v>FREMONT, CALIFORNIA  94537</v>
      </c>
      <c r="H34" s="1" t="str">
        <f t="shared" si="2"/>
        <v>Fremont, California  94537</v>
      </c>
      <c r="I34" s="1" t="str">
        <f t="shared" si="3"/>
        <v>Fremont, C</v>
      </c>
      <c r="J34" s="1" t="str">
        <f t="shared" si="4"/>
        <v>94537</v>
      </c>
      <c r="K34" s="1">
        <f t="shared" si="5"/>
        <v>26</v>
      </c>
      <c r="L34" s="1">
        <f t="shared" si="6"/>
        <v>25</v>
      </c>
      <c r="M34" s="1" t="str">
        <f t="shared" si="7"/>
        <v>Fremont, California  94537 - 200468</v>
      </c>
      <c r="N34" s="1" t="str">
        <f t="shared" si="8"/>
        <v>Fremont, California  94537 - 200468</v>
      </c>
      <c r="P34" s="1">
        <f t="shared" si="9"/>
        <v>94537</v>
      </c>
      <c r="Q34" s="1" t="e">
        <f t="shared" si="10"/>
        <v>#VALUE!</v>
      </c>
      <c r="R34" s="1">
        <f t="shared" si="11"/>
        <v>11</v>
      </c>
      <c r="X34" s="1" t="str">
        <f t="shared" si="13"/>
        <v>94537</v>
      </c>
    </row>
    <row r="35" spans="2:24" ht="20.100000000000001" customHeight="1" x14ac:dyDescent="0.25">
      <c r="B35" s="1" t="s">
        <v>54</v>
      </c>
      <c r="C35" s="1">
        <v>461116</v>
      </c>
      <c r="D35" s="1">
        <v>36</v>
      </c>
      <c r="F35" s="1" t="str">
        <f t="shared" si="14"/>
        <v>fresno, california  93706</v>
      </c>
      <c r="G35" s="1" t="str">
        <f t="shared" si="15"/>
        <v>FRESNO, CALIFORNIA  93706</v>
      </c>
      <c r="H35" s="1" t="str">
        <f t="shared" si="2"/>
        <v>Fresno, California  93706</v>
      </c>
      <c r="I35" s="1" t="str">
        <f t="shared" si="3"/>
        <v>Fresno, Ca</v>
      </c>
      <c r="J35" s="1" t="str">
        <f t="shared" si="4"/>
        <v>93706</v>
      </c>
      <c r="K35" s="1">
        <f t="shared" si="5"/>
        <v>25</v>
      </c>
      <c r="L35" s="1">
        <f t="shared" si="6"/>
        <v>24</v>
      </c>
      <c r="M35" s="1" t="str">
        <f t="shared" si="7"/>
        <v>Fresno, California  93706 - 461116</v>
      </c>
      <c r="N35" s="1" t="str">
        <f t="shared" si="8"/>
        <v>Fresno, California  93706 - 461116</v>
      </c>
      <c r="P35" s="1">
        <f t="shared" si="9"/>
        <v>93706</v>
      </c>
      <c r="Q35" s="1" t="e">
        <f t="shared" si="10"/>
        <v>#VALUE!</v>
      </c>
      <c r="R35" s="1">
        <f t="shared" si="11"/>
        <v>10</v>
      </c>
      <c r="X35" s="1" t="str">
        <f t="shared" si="13"/>
        <v>93706</v>
      </c>
    </row>
    <row r="36" spans="2:24" ht="20.100000000000001" customHeight="1" x14ac:dyDescent="0.25">
      <c r="B36" s="1" t="s">
        <v>55</v>
      </c>
      <c r="C36" s="1">
        <v>132787</v>
      </c>
      <c r="D36" s="1">
        <v>177</v>
      </c>
    </row>
    <row r="37" spans="2:24" ht="20.100000000000001" customHeight="1" x14ac:dyDescent="0.25">
      <c r="B37" s="1" t="s">
        <v>56</v>
      </c>
      <c r="C37" s="1">
        <v>166075</v>
      </c>
      <c r="D37" s="1">
        <v>136</v>
      </c>
      <c r="F37" s="1" t="str">
        <f t="shared" ref="F37:F100" si="16">LOWER(B37)</f>
        <v>garden grove, california  92842</v>
      </c>
    </row>
    <row r="38" spans="2:24" ht="20.100000000000001" customHeight="1" x14ac:dyDescent="0.25">
      <c r="B38" s="1" t="s">
        <v>57</v>
      </c>
      <c r="C38" s="1">
        <v>200065</v>
      </c>
      <c r="D38" s="1">
        <v>98</v>
      </c>
      <c r="F38" s="1" t="str">
        <f t="shared" si="14"/>
        <v>glendale, california  91205</v>
      </c>
    </row>
    <row r="39" spans="2:24" ht="20.100000000000001" customHeight="1" x14ac:dyDescent="0.25">
      <c r="B39" s="1" t="s">
        <v>58</v>
      </c>
      <c r="C39" s="1">
        <v>140293</v>
      </c>
      <c r="D39" s="1">
        <v>165</v>
      </c>
      <c r="F39" s="1" t="str">
        <f t="shared" si="14"/>
        <v>hayward, california  94544</v>
      </c>
    </row>
    <row r="40" spans="2:24" ht="20.100000000000001" customHeight="1" x14ac:dyDescent="0.25">
      <c r="B40" s="1" t="s">
        <v>59</v>
      </c>
      <c r="C40" s="1">
        <v>194457</v>
      </c>
      <c r="D40" s="1">
        <v>105</v>
      </c>
      <c r="F40" s="1" t="str">
        <f t="shared" si="14"/>
        <v>huntington beach, california  92647</v>
      </c>
    </row>
    <row r="41" spans="2:24" ht="20.100000000000001" customHeight="1" x14ac:dyDescent="0.25">
      <c r="B41" s="1" t="s">
        <v>60</v>
      </c>
      <c r="C41" s="1">
        <v>114467</v>
      </c>
      <c r="D41" s="1">
        <v>207</v>
      </c>
      <c r="F41" s="1" t="str">
        <f t="shared" si="14"/>
        <v>inglewood, california  90301</v>
      </c>
    </row>
    <row r="42" spans="2:24" ht="20.100000000000001" customHeight="1" x14ac:dyDescent="0.25">
      <c r="B42" s="1" t="s">
        <v>61</v>
      </c>
      <c r="C42" s="1">
        <v>186852</v>
      </c>
      <c r="D42" s="1">
        <v>114</v>
      </c>
      <c r="F42" s="1" t="str">
        <f t="shared" si="14"/>
        <v>irvine, california  92619</v>
      </c>
    </row>
    <row r="43" spans="2:24" ht="20.100000000000001" customHeight="1" x14ac:dyDescent="0.25">
      <c r="B43" s="1" t="s">
        <v>62</v>
      </c>
      <c r="C43" s="1">
        <v>134032</v>
      </c>
      <c r="D43" s="1">
        <v>176</v>
      </c>
      <c r="F43" s="1" t="str">
        <f t="shared" si="14"/>
        <v>lancaster, california  93534</v>
      </c>
    </row>
    <row r="44" spans="2:24" ht="20.100000000000001" customHeight="1" x14ac:dyDescent="0.25">
      <c r="B44" s="1" t="s">
        <v>63</v>
      </c>
      <c r="C44" s="1">
        <v>474014</v>
      </c>
      <c r="D44" s="1">
        <v>34</v>
      </c>
      <c r="F44" s="1" t="str">
        <f t="shared" si="14"/>
        <v>long beach, california  90802</v>
      </c>
    </row>
    <row r="45" spans="2:24" ht="20.100000000000001" customHeight="1" x14ac:dyDescent="0.25">
      <c r="B45" s="1" t="s">
        <v>64</v>
      </c>
      <c r="C45" s="1">
        <v>3844829</v>
      </c>
      <c r="D45" s="1">
        <v>2</v>
      </c>
      <c r="F45" s="1" t="str">
        <f t="shared" si="14"/>
        <v>los angeles, california  90052</v>
      </c>
    </row>
    <row r="46" spans="2:24" ht="20.100000000000001" customHeight="1" x14ac:dyDescent="0.25">
      <c r="B46" s="1" t="s">
        <v>65</v>
      </c>
      <c r="C46" s="1">
        <v>207011</v>
      </c>
      <c r="D46" s="1">
        <v>93</v>
      </c>
      <c r="F46" s="1" t="str">
        <f t="shared" si="14"/>
        <v>modesto, california  95350</v>
      </c>
    </row>
    <row r="47" spans="2:24" ht="20.100000000000001" customHeight="1" x14ac:dyDescent="0.25">
      <c r="B47" s="1" t="s">
        <v>66</v>
      </c>
      <c r="C47" s="1">
        <v>178367</v>
      </c>
      <c r="D47" s="1">
        <v>121</v>
      </c>
      <c r="F47" s="1" t="str">
        <f t="shared" si="14"/>
        <v>moreno valley, california  92553</v>
      </c>
    </row>
    <row r="48" spans="2:24" ht="20.100000000000001" customHeight="1" x14ac:dyDescent="0.25">
      <c r="B48" s="1" t="s">
        <v>67</v>
      </c>
      <c r="C48" s="1">
        <v>105834</v>
      </c>
      <c r="D48" s="1">
        <v>230</v>
      </c>
      <c r="F48" s="1" t="str">
        <f t="shared" si="14"/>
        <v>norwalk, california  90650</v>
      </c>
    </row>
    <row r="49" spans="2:6" ht="20.100000000000001" customHeight="1" x14ac:dyDescent="0.25">
      <c r="B49" s="1" t="s">
        <v>68</v>
      </c>
      <c r="C49" s="1">
        <v>395274</v>
      </c>
      <c r="D49" s="1">
        <v>44</v>
      </c>
      <c r="F49" s="1" t="str">
        <f t="shared" si="14"/>
        <v>oakland, california  94612</v>
      </c>
    </row>
    <row r="50" spans="2:6" ht="20.100000000000001" customHeight="1" x14ac:dyDescent="0.25">
      <c r="B50" s="1" t="s">
        <v>69</v>
      </c>
      <c r="C50" s="1">
        <v>166108</v>
      </c>
      <c r="D50" s="1">
        <v>135</v>
      </c>
      <c r="F50" s="1" t="str">
        <f t="shared" si="14"/>
        <v>oceanside, california  92054</v>
      </c>
    </row>
    <row r="51" spans="2:6" ht="20.100000000000001" customHeight="1" x14ac:dyDescent="0.25">
      <c r="B51" s="1" t="s">
        <v>70</v>
      </c>
      <c r="C51" s="1">
        <v>172679</v>
      </c>
      <c r="D51" s="1">
        <v>128</v>
      </c>
      <c r="F51" s="1" t="str">
        <f t="shared" si="14"/>
        <v>ontario, california  91761</v>
      </c>
    </row>
    <row r="52" spans="2:6" ht="20.100000000000001" customHeight="1" x14ac:dyDescent="0.25">
      <c r="B52" s="1" t="s">
        <v>71</v>
      </c>
      <c r="C52" s="1">
        <v>134950</v>
      </c>
      <c r="D52" s="1">
        <v>173</v>
      </c>
      <c r="F52" s="1" t="str">
        <f t="shared" si="14"/>
        <v>orange, california  92863</v>
      </c>
    </row>
    <row r="53" spans="2:6" ht="20.100000000000001" customHeight="1" x14ac:dyDescent="0.25">
      <c r="B53" s="1" t="s">
        <v>72</v>
      </c>
      <c r="C53" s="1">
        <v>183628</v>
      </c>
      <c r="D53" s="1">
        <v>117</v>
      </c>
    </row>
    <row r="54" spans="2:6" ht="20.100000000000001" customHeight="1" x14ac:dyDescent="0.25">
      <c r="B54" s="1" t="s">
        <v>73</v>
      </c>
      <c r="C54" s="1">
        <v>134570</v>
      </c>
      <c r="D54" s="1">
        <v>174</v>
      </c>
      <c r="F54" s="1" t="str">
        <f t="shared" ref="F54:F117" si="17">LOWER(B54)</f>
        <v>palmdale, california  93550</v>
      </c>
    </row>
    <row r="55" spans="2:6" ht="20.100000000000001" customHeight="1" x14ac:dyDescent="0.25">
      <c r="B55" s="1" t="s">
        <v>74</v>
      </c>
      <c r="C55" s="1">
        <v>143731</v>
      </c>
      <c r="D55" s="1">
        <v>160</v>
      </c>
      <c r="F55" s="1" t="str">
        <f t="shared" si="14"/>
        <v>pasadena, california  91103</v>
      </c>
    </row>
    <row r="56" spans="2:6" ht="20.100000000000001" customHeight="1" x14ac:dyDescent="0.25">
      <c r="B56" s="1" t="s">
        <v>75</v>
      </c>
      <c r="C56" s="1">
        <v>153787</v>
      </c>
      <c r="D56" s="1">
        <v>144</v>
      </c>
      <c r="F56" s="1" t="str">
        <f t="shared" si="14"/>
        <v>pomona, california  91769</v>
      </c>
    </row>
    <row r="57" spans="2:6" ht="20.100000000000001" customHeight="1" x14ac:dyDescent="0.25">
      <c r="B57" s="1" t="s">
        <v>76</v>
      </c>
      <c r="C57" s="1">
        <v>169353</v>
      </c>
      <c r="D57" s="1">
        <v>129</v>
      </c>
      <c r="F57" s="1" t="str">
        <f t="shared" si="14"/>
        <v>rancho cucamonga, california  91729</v>
      </c>
    </row>
    <row r="58" spans="2:6" ht="20.100000000000001" customHeight="1" x14ac:dyDescent="0.25">
      <c r="B58" s="1" t="s">
        <v>77</v>
      </c>
      <c r="C58" s="1">
        <v>102186</v>
      </c>
      <c r="D58" s="1">
        <v>245</v>
      </c>
      <c r="F58" s="1" t="str">
        <f t="shared" si="14"/>
        <v>richmond, california  94801</v>
      </c>
    </row>
    <row r="59" spans="2:6" ht="20.100000000000001" customHeight="1" x14ac:dyDescent="0.25">
      <c r="B59" s="1" t="s">
        <v>78</v>
      </c>
      <c r="C59" s="1">
        <v>290086</v>
      </c>
      <c r="D59" s="1">
        <v>62</v>
      </c>
      <c r="F59" s="1" t="str">
        <f t="shared" si="14"/>
        <v>riverside, california  92507</v>
      </c>
    </row>
    <row r="60" spans="2:6" ht="20.100000000000001" customHeight="1" x14ac:dyDescent="0.25">
      <c r="B60" s="1" t="s">
        <v>79</v>
      </c>
      <c r="C60" s="1">
        <v>105940</v>
      </c>
      <c r="D60" s="1">
        <v>229</v>
      </c>
      <c r="F60" s="1" t="str">
        <f t="shared" si="14"/>
        <v>roseville, california  95661</v>
      </c>
    </row>
    <row r="61" spans="2:6" ht="20.100000000000001" customHeight="1" x14ac:dyDescent="0.25">
      <c r="B61" s="1" t="s">
        <v>80</v>
      </c>
      <c r="C61" s="1">
        <v>456441</v>
      </c>
      <c r="D61" s="1">
        <v>37</v>
      </c>
      <c r="F61" s="1" t="str">
        <f t="shared" si="14"/>
        <v>sacramento, california  95813</v>
      </c>
    </row>
    <row r="62" spans="2:6" ht="20.100000000000001" customHeight="1" x14ac:dyDescent="0.25">
      <c r="B62" s="1" t="s">
        <v>81</v>
      </c>
      <c r="C62" s="1">
        <v>146431</v>
      </c>
      <c r="D62" s="1">
        <v>153</v>
      </c>
      <c r="F62" s="1" t="str">
        <f t="shared" si="14"/>
        <v>salinas, california  93907</v>
      </c>
    </row>
    <row r="63" spans="2:6" ht="20.100000000000001" customHeight="1" x14ac:dyDescent="0.25">
      <c r="B63" s="1" t="s">
        <v>82</v>
      </c>
      <c r="C63" s="1">
        <v>198550</v>
      </c>
      <c r="D63" s="1">
        <v>100</v>
      </c>
      <c r="F63" s="1" t="str">
        <f t="shared" si="14"/>
        <v>san bernardino, california  92401</v>
      </c>
    </row>
    <row r="64" spans="2:6" ht="20.100000000000001" customHeight="1" x14ac:dyDescent="0.25">
      <c r="B64" s="1" t="s">
        <v>83</v>
      </c>
      <c r="C64" s="1">
        <v>104017</v>
      </c>
      <c r="D64" s="1">
        <v>239</v>
      </c>
      <c r="F64" s="1" t="str">
        <f t="shared" si="14"/>
        <v>ventura, california  93001</v>
      </c>
    </row>
    <row r="65" spans="2:6" ht="20.100000000000001" customHeight="1" x14ac:dyDescent="0.25">
      <c r="B65" s="1" t="s">
        <v>84</v>
      </c>
      <c r="C65" s="1">
        <v>1255540</v>
      </c>
      <c r="D65" s="1">
        <v>8</v>
      </c>
      <c r="F65" s="1" t="str">
        <f t="shared" si="14"/>
        <v>san diego, california  92199</v>
      </c>
    </row>
    <row r="66" spans="2:6" ht="20.100000000000001" customHeight="1" x14ac:dyDescent="0.25">
      <c r="B66" s="1" t="s">
        <v>85</v>
      </c>
      <c r="C66" s="1">
        <v>739426</v>
      </c>
      <c r="D66" s="1">
        <v>14</v>
      </c>
      <c r="F66" s="1" t="str">
        <f t="shared" si="14"/>
        <v>san francisco, california  94188</v>
      </c>
    </row>
    <row r="67" spans="2:6" ht="20.100000000000001" customHeight="1" x14ac:dyDescent="0.25">
      <c r="B67" s="1" t="s">
        <v>86</v>
      </c>
      <c r="C67" s="1">
        <v>912332</v>
      </c>
      <c r="D67" s="1">
        <v>10</v>
      </c>
      <c r="F67" s="1" t="str">
        <f t="shared" si="14"/>
        <v>san jose, california  95101</v>
      </c>
    </row>
    <row r="68" spans="2:6" ht="20.100000000000001" customHeight="1" x14ac:dyDescent="0.25">
      <c r="B68" s="1" t="s">
        <v>87</v>
      </c>
      <c r="C68" s="1">
        <v>340368</v>
      </c>
      <c r="D68" s="1">
        <v>54</v>
      </c>
      <c r="F68" s="1" t="str">
        <f t="shared" si="14"/>
        <v>santa ana, california  92711</v>
      </c>
    </row>
    <row r="69" spans="2:6" ht="20.100000000000001" customHeight="1" x14ac:dyDescent="0.25">
      <c r="B69" s="1" t="s">
        <v>88</v>
      </c>
      <c r="C69" s="1">
        <v>105402</v>
      </c>
      <c r="D69" s="1">
        <v>231</v>
      </c>
      <c r="F69" s="1" t="str">
        <f t="shared" si="14"/>
        <v>santa clara, california  95050</v>
      </c>
    </row>
    <row r="70" spans="2:6" ht="20.100000000000001" customHeight="1" x14ac:dyDescent="0.25">
      <c r="B70" s="1" t="s">
        <v>89</v>
      </c>
      <c r="C70" s="1">
        <v>168253</v>
      </c>
      <c r="D70" s="1">
        <v>130</v>
      </c>
    </row>
    <row r="71" spans="2:6" ht="20.100000000000001" customHeight="1" x14ac:dyDescent="0.25">
      <c r="B71" s="1" t="s">
        <v>90</v>
      </c>
      <c r="C71" s="1">
        <v>153158</v>
      </c>
      <c r="D71" s="1">
        <v>145</v>
      </c>
      <c r="F71" s="1" t="str">
        <f t="shared" ref="F71:F102" si="18">LOWER(B71)</f>
        <v>santa rosa, california  95402</v>
      </c>
    </row>
    <row r="72" spans="2:6" ht="20.100000000000001" customHeight="1" x14ac:dyDescent="0.25">
      <c r="B72" s="1" t="s">
        <v>91</v>
      </c>
      <c r="C72" s="1">
        <v>118687</v>
      </c>
      <c r="D72" s="1">
        <v>198</v>
      </c>
      <c r="F72" s="1" t="str">
        <f t="shared" si="14"/>
        <v>simi valley, california  93065</v>
      </c>
    </row>
    <row r="73" spans="2:6" ht="20.100000000000001" customHeight="1" x14ac:dyDescent="0.25">
      <c r="B73" s="1" t="s">
        <v>92</v>
      </c>
      <c r="C73" s="1">
        <v>286926</v>
      </c>
      <c r="D73" s="1">
        <v>63</v>
      </c>
      <c r="F73" s="1" t="str">
        <f t="shared" si="14"/>
        <v>stockton, california  95208</v>
      </c>
    </row>
    <row r="74" spans="2:6" ht="20.100000000000001" customHeight="1" x14ac:dyDescent="0.25">
      <c r="B74" s="1" t="s">
        <v>93</v>
      </c>
      <c r="C74" s="1">
        <v>128902</v>
      </c>
      <c r="D74" s="1">
        <v>181</v>
      </c>
      <c r="F74" s="1" t="str">
        <f t="shared" si="14"/>
        <v>sunnyvale, california  94086</v>
      </c>
    </row>
    <row r="75" spans="2:6" ht="20.100000000000001" customHeight="1" x14ac:dyDescent="0.25">
      <c r="B75" s="1" t="s">
        <v>94</v>
      </c>
      <c r="C75" s="1">
        <v>124359</v>
      </c>
      <c r="D75" s="1">
        <v>189</v>
      </c>
      <c r="F75" s="1" t="str">
        <f t="shared" si="14"/>
        <v>thousand oaks, california  91362</v>
      </c>
    </row>
    <row r="76" spans="2:6" ht="20.100000000000001" customHeight="1" x14ac:dyDescent="0.25">
      <c r="B76" s="1" t="s">
        <v>95</v>
      </c>
      <c r="C76" s="1">
        <v>142384</v>
      </c>
      <c r="D76" s="1">
        <v>161</v>
      </c>
      <c r="F76" s="1" t="str">
        <f t="shared" si="14"/>
        <v>torrance, california  90503</v>
      </c>
    </row>
    <row r="77" spans="2:6" ht="20.100000000000001" customHeight="1" x14ac:dyDescent="0.25">
      <c r="B77" s="1" t="s">
        <v>96</v>
      </c>
      <c r="C77" s="1">
        <v>117483</v>
      </c>
      <c r="D77" s="1">
        <v>200</v>
      </c>
      <c r="F77" s="1" t="str">
        <f t="shared" si="14"/>
        <v>vallejo, california  94590</v>
      </c>
    </row>
    <row r="78" spans="2:6" ht="20.100000000000001" customHeight="1" x14ac:dyDescent="0.25">
      <c r="B78" s="1" t="s">
        <v>97</v>
      </c>
      <c r="C78" s="1">
        <v>108669</v>
      </c>
      <c r="D78" s="1">
        <v>221</v>
      </c>
      <c r="F78" s="1" t="str">
        <f t="shared" si="14"/>
        <v>visalia, california  93277</v>
      </c>
    </row>
    <row r="79" spans="2:6" ht="20.100000000000001" customHeight="1" x14ac:dyDescent="0.25">
      <c r="B79" s="1" t="s">
        <v>98</v>
      </c>
      <c r="C79" s="1">
        <v>108185</v>
      </c>
      <c r="D79" s="1">
        <v>222</v>
      </c>
      <c r="F79" s="1" t="str">
        <f t="shared" si="14"/>
        <v>west covina, california  91793</v>
      </c>
    </row>
    <row r="80" spans="2:6" ht="20.100000000000001" customHeight="1" x14ac:dyDescent="0.25">
      <c r="B80" s="1" t="s">
        <v>99</v>
      </c>
      <c r="C80" s="1">
        <v>103966</v>
      </c>
      <c r="D80" s="1">
        <v>240</v>
      </c>
      <c r="F80" s="1" t="str">
        <f t="shared" si="14"/>
        <v>arvada, colorado  80004</v>
      </c>
    </row>
    <row r="81" spans="2:6" ht="20.100000000000001" customHeight="1" x14ac:dyDescent="0.25">
      <c r="B81" s="1" t="s">
        <v>100</v>
      </c>
      <c r="C81" s="1">
        <v>297235</v>
      </c>
      <c r="D81" s="1">
        <v>60</v>
      </c>
      <c r="F81" s="1" t="str">
        <f t="shared" si="14"/>
        <v>aurora, colorado  80017</v>
      </c>
    </row>
    <row r="82" spans="2:6" ht="20.100000000000001" customHeight="1" x14ac:dyDescent="0.25">
      <c r="B82" s="1" t="s">
        <v>101</v>
      </c>
      <c r="C82" s="1">
        <v>369815</v>
      </c>
      <c r="D82" s="1">
        <v>49</v>
      </c>
      <c r="F82" s="1" t="str">
        <f t="shared" si="14"/>
        <v>colorado springs, colorado  80903</v>
      </c>
    </row>
    <row r="83" spans="2:6" ht="20.100000000000001" customHeight="1" x14ac:dyDescent="0.25">
      <c r="B83" s="1" t="s">
        <v>102</v>
      </c>
      <c r="C83" s="1">
        <v>557917</v>
      </c>
      <c r="D83" s="1">
        <v>25</v>
      </c>
      <c r="F83" s="1" t="str">
        <f t="shared" si="14"/>
        <v>denver, colorado  80202</v>
      </c>
    </row>
    <row r="84" spans="2:6" ht="20.100000000000001" customHeight="1" x14ac:dyDescent="0.25">
      <c r="B84" s="1" t="s">
        <v>103</v>
      </c>
      <c r="C84" s="1">
        <v>128026</v>
      </c>
      <c r="D84" s="1">
        <v>185</v>
      </c>
      <c r="F84" s="1" t="str">
        <f t="shared" ref="F84:F147" si="19">LOWER(B84)</f>
        <v>fort collins, colorado  80525</v>
      </c>
    </row>
    <row r="85" spans="2:6" ht="20.100000000000001" customHeight="1" x14ac:dyDescent="0.25">
      <c r="B85" s="1" t="s">
        <v>104</v>
      </c>
      <c r="C85" s="1">
        <v>140671</v>
      </c>
      <c r="D85" s="1">
        <v>164</v>
      </c>
      <c r="F85" s="1" t="str">
        <f t="shared" si="19"/>
        <v>lakewood, colorado  80202</v>
      </c>
    </row>
    <row r="86" spans="2:6" ht="20.100000000000001" customHeight="1" x14ac:dyDescent="0.25">
      <c r="B86" s="1" t="s">
        <v>105</v>
      </c>
      <c r="C86" s="1">
        <v>103495</v>
      </c>
      <c r="D86" s="1">
        <v>241</v>
      </c>
      <c r="F86" s="1" t="str">
        <f t="shared" si="19"/>
        <v>pueblo, colorado  81003</v>
      </c>
    </row>
    <row r="87" spans="2:6" ht="20.100000000000001" customHeight="1" x14ac:dyDescent="0.25">
      <c r="B87" s="1" t="s">
        <v>106</v>
      </c>
      <c r="C87" s="1">
        <v>105182</v>
      </c>
      <c r="D87" s="1">
        <v>233</v>
      </c>
    </row>
    <row r="88" spans="2:6" ht="20.100000000000001" customHeight="1" x14ac:dyDescent="0.25">
      <c r="B88" s="1" t="s">
        <v>107</v>
      </c>
      <c r="C88" s="1">
        <v>105084</v>
      </c>
      <c r="D88" s="1">
        <v>234</v>
      </c>
      <c r="F88" s="1" t="str">
        <f t="shared" ref="F88:F119" si="20">LOWER(B88)</f>
        <v>westminster, colorado  80030</v>
      </c>
    </row>
    <row r="89" spans="2:6" ht="20.100000000000001" customHeight="1" x14ac:dyDescent="0.25">
      <c r="B89" s="1" t="s">
        <v>108</v>
      </c>
      <c r="C89" s="1">
        <v>139008</v>
      </c>
      <c r="D89" s="1">
        <v>168</v>
      </c>
      <c r="F89" s="1" t="str">
        <f t="shared" si="19"/>
        <v>bridgeport, connecticut  06602</v>
      </c>
    </row>
    <row r="90" spans="2:6" ht="20.100000000000001" customHeight="1" x14ac:dyDescent="0.25">
      <c r="B90" s="1" t="s">
        <v>109</v>
      </c>
      <c r="C90" s="1">
        <v>124397</v>
      </c>
      <c r="D90" s="1">
        <v>188</v>
      </c>
      <c r="F90" s="1" t="str">
        <f t="shared" si="19"/>
        <v>hartford, connecticut  06101</v>
      </c>
    </row>
    <row r="91" spans="2:6" ht="20.100000000000001" customHeight="1" x14ac:dyDescent="0.25">
      <c r="B91" s="1" t="s">
        <v>110</v>
      </c>
      <c r="C91" s="1">
        <v>124791</v>
      </c>
      <c r="D91" s="1">
        <v>187</v>
      </c>
      <c r="F91" s="1" t="str">
        <f t="shared" si="19"/>
        <v>new haven, connecticut  06511</v>
      </c>
    </row>
    <row r="92" spans="2:6" ht="20.100000000000001" customHeight="1" x14ac:dyDescent="0.25">
      <c r="B92" s="1" t="s">
        <v>111</v>
      </c>
      <c r="C92" s="1">
        <v>120045</v>
      </c>
      <c r="D92" s="1">
        <v>196</v>
      </c>
      <c r="F92" s="1" t="str">
        <f t="shared" si="19"/>
        <v>stamford, connecticut  06904</v>
      </c>
    </row>
    <row r="93" spans="2:6" ht="20.100000000000001" customHeight="1" x14ac:dyDescent="0.25">
      <c r="B93" s="1" t="s">
        <v>112</v>
      </c>
      <c r="C93" s="1">
        <v>107902</v>
      </c>
      <c r="D93" s="1">
        <v>224</v>
      </c>
      <c r="F93" s="1" t="str">
        <f t="shared" si="19"/>
        <v>waterbury, connecticut  06702</v>
      </c>
    </row>
    <row r="94" spans="2:6" ht="20.100000000000001" customHeight="1" x14ac:dyDescent="0.25">
      <c r="B94" s="1" t="s">
        <v>113</v>
      </c>
      <c r="C94" s="1">
        <v>550521</v>
      </c>
      <c r="D94" s="1">
        <v>27</v>
      </c>
      <c r="F94" s="1" t="str">
        <f t="shared" si="19"/>
        <v>washington, d.c.  20090</v>
      </c>
    </row>
    <row r="95" spans="2:6" ht="20.100000000000001" customHeight="1" x14ac:dyDescent="0.25">
      <c r="B95" s="1" t="s">
        <v>114</v>
      </c>
      <c r="C95" s="1">
        <v>140010</v>
      </c>
      <c r="D95" s="1">
        <v>166</v>
      </c>
      <c r="F95" s="1" t="str">
        <f t="shared" si="19"/>
        <v>cape coral, florida  33909</v>
      </c>
    </row>
    <row r="96" spans="2:6" ht="20.100000000000001" customHeight="1" x14ac:dyDescent="0.25">
      <c r="B96" s="1" t="s">
        <v>115</v>
      </c>
      <c r="C96" s="1">
        <v>108687</v>
      </c>
      <c r="D96" s="1">
        <v>220</v>
      </c>
      <c r="F96" s="1" t="str">
        <f t="shared" si="19"/>
        <v>clearwater, florida  33990</v>
      </c>
    </row>
    <row r="97" spans="2:6" ht="20.100000000000001" customHeight="1" x14ac:dyDescent="0.25">
      <c r="B97" s="1" t="s">
        <v>116</v>
      </c>
      <c r="C97" s="1">
        <v>128804</v>
      </c>
      <c r="D97" s="1">
        <v>182</v>
      </c>
      <c r="F97" s="1" t="str">
        <f t="shared" si="19"/>
        <v>coral springs, florida  33075</v>
      </c>
    </row>
    <row r="98" spans="2:6" ht="20.100000000000001" customHeight="1" x14ac:dyDescent="0.25">
      <c r="B98" s="1" t="s">
        <v>117</v>
      </c>
      <c r="C98" s="1">
        <v>167380</v>
      </c>
      <c r="D98" s="1">
        <v>133</v>
      </c>
      <c r="F98" s="1" t="str">
        <f t="shared" si="19"/>
        <v>fort lauderdale, florida  33310</v>
      </c>
    </row>
    <row r="99" spans="2:6" ht="20.100000000000001" customHeight="1" x14ac:dyDescent="0.25">
      <c r="B99" s="1" t="s">
        <v>118</v>
      </c>
      <c r="C99" s="1">
        <v>108184</v>
      </c>
      <c r="D99" s="1">
        <v>223</v>
      </c>
      <c r="F99" s="1" t="str">
        <f t="shared" si="19"/>
        <v>gainesville, florida  32601</v>
      </c>
    </row>
    <row r="100" spans="2:6" ht="20.100000000000001" customHeight="1" x14ac:dyDescent="0.25">
      <c r="B100" s="1" t="s">
        <v>119</v>
      </c>
      <c r="C100" s="1">
        <v>220485</v>
      </c>
      <c r="D100" s="1">
        <v>84</v>
      </c>
      <c r="F100" s="1" t="str">
        <f t="shared" si="19"/>
        <v>hialeah, florida  33010</v>
      </c>
    </row>
    <row r="101" spans="2:6" ht="20.100000000000001" customHeight="1" x14ac:dyDescent="0.25">
      <c r="B101" s="1" t="s">
        <v>120</v>
      </c>
      <c r="C101" s="1">
        <v>145629</v>
      </c>
      <c r="D101" s="1">
        <v>154</v>
      </c>
      <c r="F101" s="1" t="str">
        <f t="shared" si="19"/>
        <v>hollywood, florida  33022</v>
      </c>
    </row>
    <row r="102" spans="2:6" ht="20.100000000000001" customHeight="1" x14ac:dyDescent="0.25">
      <c r="B102" s="1" t="s">
        <v>121</v>
      </c>
      <c r="C102" s="1">
        <v>782623</v>
      </c>
      <c r="D102" s="1">
        <v>13</v>
      </c>
      <c r="F102" s="1" t="str">
        <f t="shared" si="19"/>
        <v>jacksonville, florida  32203</v>
      </c>
    </row>
    <row r="103" spans="2:6" ht="20.100000000000001" customHeight="1" x14ac:dyDescent="0.25">
      <c r="B103" s="1" t="s">
        <v>122</v>
      </c>
      <c r="C103" s="1">
        <v>386417</v>
      </c>
      <c r="D103" s="1">
        <v>45</v>
      </c>
      <c r="F103" s="1" t="str">
        <f t="shared" si="19"/>
        <v>miami, florida  33152</v>
      </c>
    </row>
    <row r="104" spans="2:6" ht="20.100000000000001" customHeight="1" x14ac:dyDescent="0.25">
      <c r="B104" s="1" t="s">
        <v>123</v>
      </c>
      <c r="C104" s="1">
        <v>106623</v>
      </c>
      <c r="D104" s="1">
        <v>227</v>
      </c>
    </row>
    <row r="105" spans="2:6" ht="20.100000000000001" customHeight="1" x14ac:dyDescent="0.25">
      <c r="B105" s="1" t="s">
        <v>124</v>
      </c>
      <c r="C105" s="1">
        <v>213223</v>
      </c>
      <c r="D105" s="1">
        <v>87</v>
      </c>
      <c r="F105" s="1" t="str">
        <f t="shared" ref="F105:F136" si="21">LOWER(B105)</f>
        <v>orlando, florida  32802</v>
      </c>
    </row>
    <row r="106" spans="2:6" ht="20.100000000000001" customHeight="1" x14ac:dyDescent="0.25">
      <c r="B106" s="1" t="s">
        <v>125</v>
      </c>
      <c r="C106" s="1">
        <v>150380</v>
      </c>
      <c r="D106" s="1">
        <v>148</v>
      </c>
      <c r="F106" s="1" t="str">
        <f t="shared" si="19"/>
        <v>pembroke pines, florida  33024</v>
      </c>
    </row>
    <row r="107" spans="2:6" ht="20.100000000000001" customHeight="1" x14ac:dyDescent="0.25">
      <c r="B107" s="1" t="s">
        <v>126</v>
      </c>
      <c r="C107" s="1">
        <v>104179</v>
      </c>
      <c r="D107" s="1">
        <v>236</v>
      </c>
      <c r="F107" s="1" t="str">
        <f t="shared" si="19"/>
        <v>pompano beach, florida  33060</v>
      </c>
    </row>
    <row r="108" spans="2:6" ht="20.100000000000001" customHeight="1" x14ac:dyDescent="0.25">
      <c r="B108" s="1" t="s">
        <v>127</v>
      </c>
      <c r="C108" s="1">
        <v>131692</v>
      </c>
      <c r="D108" s="1">
        <v>178</v>
      </c>
      <c r="F108" s="1" t="str">
        <f t="shared" si="19"/>
        <v>port st. lucie, florida  34952</v>
      </c>
    </row>
    <row r="109" spans="2:6" ht="20.100000000000001" customHeight="1" x14ac:dyDescent="0.25">
      <c r="B109" s="1" t="s">
        <v>128</v>
      </c>
      <c r="C109" s="1">
        <v>249079</v>
      </c>
      <c r="D109" s="1">
        <v>71</v>
      </c>
      <c r="F109" s="1" t="str">
        <f t="shared" si="19"/>
        <v>st. petersburg, florida  33730</v>
      </c>
    </row>
    <row r="110" spans="2:6" ht="20.100000000000001" customHeight="1" x14ac:dyDescent="0.25">
      <c r="B110" s="1" t="s">
        <v>129</v>
      </c>
      <c r="C110" s="1">
        <v>158500</v>
      </c>
      <c r="D110" s="1">
        <v>141</v>
      </c>
      <c r="F110" s="1" t="str">
        <f t="shared" si="19"/>
        <v>tallahassee, florida  32301</v>
      </c>
    </row>
    <row r="111" spans="2:6" ht="20.100000000000001" customHeight="1" x14ac:dyDescent="0.25">
      <c r="B111" s="1" t="s">
        <v>130</v>
      </c>
      <c r="C111" s="1">
        <v>325989</v>
      </c>
      <c r="D111" s="1">
        <v>56</v>
      </c>
      <c r="F111" s="1" t="str">
        <f t="shared" si="19"/>
        <v>tampa, florida  33630</v>
      </c>
    </row>
    <row r="112" spans="2:6" ht="20.100000000000001" customHeight="1" x14ac:dyDescent="0.25">
      <c r="B112" s="1" t="s">
        <v>131</v>
      </c>
      <c r="C112" s="1">
        <v>103238</v>
      </c>
      <c r="D112" s="1">
        <v>242</v>
      </c>
      <c r="F112" s="1" t="str">
        <f t="shared" si="19"/>
        <v>athens, georgia  30608</v>
      </c>
    </row>
    <row r="113" spans="2:6" ht="20.100000000000001" customHeight="1" x14ac:dyDescent="0.25">
      <c r="B113" s="1" t="s">
        <v>132</v>
      </c>
      <c r="C113" s="1">
        <v>470688</v>
      </c>
      <c r="D113" s="1">
        <v>35</v>
      </c>
      <c r="F113" s="1" t="str">
        <f t="shared" si="19"/>
        <v>atlanta, georgia  30304</v>
      </c>
    </row>
    <row r="114" spans="2:6" ht="20.100000000000001" customHeight="1" x14ac:dyDescent="0.25">
      <c r="B114" s="1" t="s">
        <v>133</v>
      </c>
      <c r="C114" s="1">
        <v>190782</v>
      </c>
      <c r="D114" s="1">
        <v>113</v>
      </c>
      <c r="F114" s="1" t="str">
        <f t="shared" si="19"/>
        <v>augusta, georgia  30901</v>
      </c>
    </row>
    <row r="115" spans="2:6" ht="20.100000000000001" customHeight="1" x14ac:dyDescent="0.25">
      <c r="B115" s="1" t="s">
        <v>134</v>
      </c>
      <c r="C115" s="1">
        <v>185271</v>
      </c>
      <c r="D115" s="1">
        <v>115</v>
      </c>
      <c r="F115" s="1" t="str">
        <f t="shared" si="19"/>
        <v>columbus, georgia  31908</v>
      </c>
    </row>
    <row r="116" spans="2:6" ht="20.100000000000001" customHeight="1" x14ac:dyDescent="0.25">
      <c r="B116" s="1" t="s">
        <v>135</v>
      </c>
      <c r="C116" s="1">
        <v>128453</v>
      </c>
      <c r="D116" s="1">
        <v>183</v>
      </c>
      <c r="F116" s="1" t="str">
        <f t="shared" si="19"/>
        <v>savannah, georgia  31402</v>
      </c>
    </row>
    <row r="117" spans="2:6" ht="20.100000000000001" customHeight="1" x14ac:dyDescent="0.25">
      <c r="B117" s="1" t="s">
        <v>136</v>
      </c>
      <c r="C117" s="1">
        <v>377379</v>
      </c>
      <c r="D117" s="1">
        <v>47</v>
      </c>
      <c r="F117" s="1" t="str">
        <f t="shared" si="19"/>
        <v>honolulu, hawaii  96820</v>
      </c>
    </row>
    <row r="118" spans="2:6" ht="20.100000000000001" customHeight="1" x14ac:dyDescent="0.25">
      <c r="B118" s="1" t="s">
        <v>137</v>
      </c>
      <c r="C118" s="1">
        <v>193161</v>
      </c>
      <c r="D118" s="1">
        <v>111</v>
      </c>
      <c r="F118" s="1" t="str">
        <f t="shared" si="19"/>
        <v>boise, idaho  83708</v>
      </c>
    </row>
    <row r="119" spans="2:6" ht="20.100000000000001" customHeight="1" x14ac:dyDescent="0.25">
      <c r="B119" s="1" t="s">
        <v>138</v>
      </c>
      <c r="C119" s="1">
        <v>168181</v>
      </c>
      <c r="D119" s="1">
        <v>131</v>
      </c>
      <c r="F119" s="1" t="str">
        <f t="shared" si="19"/>
        <v>aurora, illinois  60505</v>
      </c>
    </row>
    <row r="120" spans="2:6" ht="20.100000000000001" customHeight="1" x14ac:dyDescent="0.25">
      <c r="B120" s="1" t="s">
        <v>139</v>
      </c>
      <c r="C120" s="1">
        <v>2842518</v>
      </c>
      <c r="D120" s="1">
        <v>3</v>
      </c>
      <c r="F120" s="1" t="str">
        <f t="shared" si="19"/>
        <v>chicago, illinois  60607</v>
      </c>
    </row>
    <row r="121" spans="2:6" ht="20.100000000000001" customHeight="1" x14ac:dyDescent="0.25">
      <c r="B121" s="1" t="s">
        <v>140</v>
      </c>
      <c r="C121" s="1">
        <v>136208</v>
      </c>
      <c r="D121" s="1">
        <v>170</v>
      </c>
    </row>
    <row r="122" spans="2:6" ht="20.100000000000001" customHeight="1" x14ac:dyDescent="0.25">
      <c r="B122" s="1" t="s">
        <v>141</v>
      </c>
      <c r="C122" s="1">
        <v>141579</v>
      </c>
      <c r="D122" s="1">
        <v>163</v>
      </c>
      <c r="F122" s="1" t="str">
        <f t="shared" ref="F122:F153" si="22">LOWER(B122)</f>
        <v>naperville, illinois  60540</v>
      </c>
    </row>
    <row r="123" spans="2:6" ht="20.100000000000001" customHeight="1" x14ac:dyDescent="0.25">
      <c r="B123" s="1" t="s">
        <v>142</v>
      </c>
      <c r="C123" s="1">
        <v>112685</v>
      </c>
      <c r="D123" s="1">
        <v>211</v>
      </c>
      <c r="F123" s="1" t="str">
        <f t="shared" si="19"/>
        <v>peoria, illinois  61601</v>
      </c>
    </row>
    <row r="124" spans="2:6" ht="20.100000000000001" customHeight="1" x14ac:dyDescent="0.25">
      <c r="B124" s="1" t="s">
        <v>143</v>
      </c>
      <c r="C124" s="1">
        <v>152916</v>
      </c>
      <c r="D124" s="1">
        <v>146</v>
      </c>
      <c r="F124" s="1" t="str">
        <f t="shared" si="19"/>
        <v>rockford, illinois  61125</v>
      </c>
    </row>
    <row r="125" spans="2:6" ht="20.100000000000001" customHeight="1" x14ac:dyDescent="0.25">
      <c r="B125" s="1" t="s">
        <v>144</v>
      </c>
      <c r="C125" s="1">
        <v>115668</v>
      </c>
      <c r="D125" s="1">
        <v>204</v>
      </c>
      <c r="F125" s="1" t="str">
        <f t="shared" si="19"/>
        <v>springfield, illinois  62703</v>
      </c>
    </row>
    <row r="126" spans="2:6" ht="20.100000000000001" customHeight="1" x14ac:dyDescent="0.25">
      <c r="B126" s="1" t="s">
        <v>145</v>
      </c>
      <c r="C126" s="1">
        <v>115918</v>
      </c>
      <c r="D126" s="1">
        <v>203</v>
      </c>
      <c r="F126" s="1" t="str">
        <f t="shared" si="19"/>
        <v>evansville, indiana  47708</v>
      </c>
    </row>
    <row r="127" spans="2:6" ht="20.100000000000001" customHeight="1" x14ac:dyDescent="0.25">
      <c r="B127" s="1" t="s">
        <v>146</v>
      </c>
      <c r="C127" s="1">
        <v>223341</v>
      </c>
      <c r="D127" s="1">
        <v>81</v>
      </c>
      <c r="F127" s="1" t="str">
        <f t="shared" si="19"/>
        <v>fort wayne, indiana  46802</v>
      </c>
    </row>
    <row r="128" spans="2:6" ht="20.100000000000001" customHeight="1" x14ac:dyDescent="0.25">
      <c r="B128" s="1" t="s">
        <v>147</v>
      </c>
      <c r="C128" s="1">
        <v>784118</v>
      </c>
      <c r="D128" s="1">
        <v>12</v>
      </c>
      <c r="F128" s="1" t="str">
        <f t="shared" si="19"/>
        <v>indianapolis, indiana  46206</v>
      </c>
    </row>
    <row r="129" spans="2:6" ht="20.100000000000001" customHeight="1" x14ac:dyDescent="0.25">
      <c r="B129" s="1" t="s">
        <v>148</v>
      </c>
      <c r="C129" s="1">
        <v>105262</v>
      </c>
      <c r="D129" s="1">
        <v>232</v>
      </c>
      <c r="F129" s="1" t="str">
        <f t="shared" si="19"/>
        <v>south bend, indiana  46624</v>
      </c>
    </row>
    <row r="130" spans="2:6" ht="20.100000000000001" customHeight="1" x14ac:dyDescent="0.25">
      <c r="B130" s="1" t="s">
        <v>149</v>
      </c>
      <c r="C130" s="1">
        <v>123119</v>
      </c>
      <c r="D130" s="1">
        <v>192</v>
      </c>
      <c r="F130" s="1" t="str">
        <f t="shared" si="19"/>
        <v>cedar rapids, iowa  52401</v>
      </c>
    </row>
    <row r="131" spans="2:6" ht="20.100000000000001" customHeight="1" x14ac:dyDescent="0.25">
      <c r="B131" s="1" t="s">
        <v>150</v>
      </c>
      <c r="C131" s="1">
        <v>194163</v>
      </c>
      <c r="D131" s="1">
        <v>106</v>
      </c>
      <c r="F131" s="1" t="str">
        <f t="shared" si="19"/>
        <v>des moines, iowa  50318</v>
      </c>
    </row>
    <row r="132" spans="2:6" ht="20.100000000000001" customHeight="1" x14ac:dyDescent="0.25">
      <c r="B132" s="1" t="s">
        <v>151</v>
      </c>
      <c r="C132" s="1">
        <v>144210</v>
      </c>
      <c r="D132" s="1">
        <v>158</v>
      </c>
      <c r="F132" s="1" t="str">
        <f t="shared" si="19"/>
        <v>kansas city, kansas  66106</v>
      </c>
    </row>
    <row r="133" spans="2:6" ht="20.100000000000001" customHeight="1" x14ac:dyDescent="0.25">
      <c r="B133" s="1" t="s">
        <v>152</v>
      </c>
      <c r="C133" s="1">
        <v>111334</v>
      </c>
      <c r="D133" s="1">
        <v>215</v>
      </c>
      <c r="F133" s="1" t="str">
        <f t="shared" si="19"/>
        <v>olathe, kansas  66051</v>
      </c>
    </row>
    <row r="134" spans="2:6" ht="20.100000000000001" customHeight="1" x14ac:dyDescent="0.25">
      <c r="B134" s="1" t="s">
        <v>153</v>
      </c>
      <c r="C134" s="1">
        <v>164811</v>
      </c>
      <c r="D134" s="1">
        <v>137</v>
      </c>
      <c r="F134" s="1" t="str">
        <f t="shared" si="19"/>
        <v>overland park, kansas  66204</v>
      </c>
    </row>
    <row r="135" spans="2:6" ht="20.100000000000001" customHeight="1" x14ac:dyDescent="0.25">
      <c r="B135" s="1" t="s">
        <v>154</v>
      </c>
      <c r="C135" s="1">
        <v>121946</v>
      </c>
      <c r="D135" s="1">
        <v>194</v>
      </c>
      <c r="F135" s="1" t="str">
        <f t="shared" si="19"/>
        <v>topeka, kansas  66603</v>
      </c>
    </row>
    <row r="136" spans="2:6" ht="20.100000000000001" customHeight="1" x14ac:dyDescent="0.25">
      <c r="B136" s="1" t="s">
        <v>155</v>
      </c>
      <c r="C136" s="1">
        <v>354865</v>
      </c>
      <c r="D136" s="1">
        <v>51</v>
      </c>
      <c r="F136" s="1" t="str">
        <f t="shared" si="19"/>
        <v>wichita, kansas  67276</v>
      </c>
    </row>
    <row r="137" spans="2:6" ht="20.100000000000001" customHeight="1" x14ac:dyDescent="0.25">
      <c r="B137" s="1" t="s">
        <v>156</v>
      </c>
      <c r="C137" s="1">
        <v>268080</v>
      </c>
      <c r="D137" s="1">
        <v>69</v>
      </c>
      <c r="F137" s="1" t="str">
        <f t="shared" si="19"/>
        <v>lexington, kentucky  40511</v>
      </c>
    </row>
    <row r="138" spans="2:6" ht="20.100000000000001" customHeight="1" x14ac:dyDescent="0.25">
      <c r="B138" s="1" t="s">
        <v>157</v>
      </c>
      <c r="C138" s="1">
        <v>556429</v>
      </c>
      <c r="D138" s="1">
        <v>26</v>
      </c>
    </row>
    <row r="139" spans="2:6" ht="20.100000000000001" customHeight="1" x14ac:dyDescent="0.25">
      <c r="B139" s="1" t="s">
        <v>158</v>
      </c>
      <c r="C139" s="1">
        <v>222064</v>
      </c>
      <c r="D139" s="1">
        <v>82</v>
      </c>
      <c r="F139" s="1" t="str">
        <f t="shared" ref="F139:F170" si="23">LOWER(B139)</f>
        <v>baton rouge, louisiana  70826</v>
      </c>
    </row>
    <row r="140" spans="2:6" ht="20.100000000000001" customHeight="1" x14ac:dyDescent="0.25">
      <c r="B140" s="1" t="s">
        <v>159</v>
      </c>
      <c r="C140" s="1">
        <v>112030</v>
      </c>
      <c r="D140" s="1">
        <v>213</v>
      </c>
      <c r="F140" s="1" t="str">
        <f t="shared" si="19"/>
        <v>lafayette, louisiana  70509</v>
      </c>
    </row>
    <row r="141" spans="2:6" ht="20.100000000000001" customHeight="1" x14ac:dyDescent="0.25">
      <c r="B141" s="1" t="s">
        <v>160</v>
      </c>
      <c r="C141" s="1">
        <v>454863</v>
      </c>
      <c r="D141" s="1">
        <v>38</v>
      </c>
      <c r="F141" s="1" t="str">
        <f t="shared" si="19"/>
        <v>new orleans, louisiana  70113</v>
      </c>
    </row>
    <row r="142" spans="2:6" ht="20.100000000000001" customHeight="1" x14ac:dyDescent="0.25">
      <c r="B142" s="1" t="s">
        <v>161</v>
      </c>
      <c r="C142" s="1">
        <v>198874</v>
      </c>
      <c r="D142" s="1">
        <v>99</v>
      </c>
      <c r="F142" s="1" t="str">
        <f t="shared" si="19"/>
        <v>shreveport, louisiana  71102</v>
      </c>
    </row>
    <row r="143" spans="2:6" ht="20.100000000000001" customHeight="1" x14ac:dyDescent="0.25">
      <c r="B143" s="1" t="s">
        <v>162</v>
      </c>
      <c r="C143" s="1">
        <v>635815</v>
      </c>
      <c r="D143" s="1">
        <v>18</v>
      </c>
      <c r="F143" s="1" t="str">
        <f t="shared" si="19"/>
        <v>baltimore, maryland  21202</v>
      </c>
    </row>
    <row r="144" spans="2:6" ht="20.100000000000001" customHeight="1" x14ac:dyDescent="0.25">
      <c r="B144" s="1" t="s">
        <v>163</v>
      </c>
      <c r="C144" s="1">
        <v>559034</v>
      </c>
      <c r="D144" s="1">
        <v>24</v>
      </c>
      <c r="F144" s="1" t="str">
        <f t="shared" si="19"/>
        <v>boston, massachusetts  02205</v>
      </c>
    </row>
    <row r="145" spans="2:6" ht="20.100000000000001" customHeight="1" x14ac:dyDescent="0.25">
      <c r="B145" s="1" t="s">
        <v>164</v>
      </c>
      <c r="C145" s="1">
        <v>100135</v>
      </c>
      <c r="D145" s="1">
        <v>253</v>
      </c>
      <c r="F145" s="1" t="str">
        <f t="shared" si="19"/>
        <v>cambridge, massachusetts  02139</v>
      </c>
    </row>
    <row r="146" spans="2:6" ht="20.100000000000001" customHeight="1" x14ac:dyDescent="0.25">
      <c r="B146" s="1" t="s">
        <v>165</v>
      </c>
      <c r="C146" s="1">
        <v>103111</v>
      </c>
      <c r="D146" s="1">
        <v>243</v>
      </c>
      <c r="F146" s="1" t="str">
        <f t="shared" si="19"/>
        <v>lowell, massachusetts  01853</v>
      </c>
    </row>
    <row r="147" spans="2:6" ht="20.100000000000001" customHeight="1" x14ac:dyDescent="0.25">
      <c r="B147" s="1" t="s">
        <v>166</v>
      </c>
      <c r="C147" s="1">
        <v>151732</v>
      </c>
      <c r="D147" s="1">
        <v>147</v>
      </c>
      <c r="F147" s="1" t="str">
        <f t="shared" si="19"/>
        <v>springfield, massachusetts  01101</v>
      </c>
    </row>
    <row r="148" spans="2:6" ht="20.100000000000001" customHeight="1" x14ac:dyDescent="0.25">
      <c r="B148" s="1" t="s">
        <v>167</v>
      </c>
      <c r="C148" s="1">
        <v>175898</v>
      </c>
      <c r="D148" s="1">
        <v>126</v>
      </c>
      <c r="F148" s="1" t="str">
        <f t="shared" ref="F148:F211" si="24">LOWER(B148)</f>
        <v>worcester, massachusetts  01613</v>
      </c>
    </row>
    <row r="149" spans="2:6" ht="20.100000000000001" customHeight="1" x14ac:dyDescent="0.25">
      <c r="B149" s="1" t="s">
        <v>168</v>
      </c>
      <c r="C149" s="1">
        <v>113271</v>
      </c>
      <c r="D149" s="1">
        <v>209</v>
      </c>
      <c r="F149" s="1" t="str">
        <f t="shared" si="24"/>
        <v>ann arbor, michigan  48104</v>
      </c>
    </row>
    <row r="150" spans="2:6" ht="20.100000000000001" customHeight="1" x14ac:dyDescent="0.25">
      <c r="B150" s="1" t="s">
        <v>169</v>
      </c>
      <c r="C150" s="1">
        <v>886671</v>
      </c>
      <c r="D150" s="1">
        <v>11</v>
      </c>
      <c r="F150" s="1" t="str">
        <f t="shared" si="24"/>
        <v>detroit, michigan  48233</v>
      </c>
    </row>
    <row r="151" spans="2:6" ht="20.100000000000001" customHeight="1" x14ac:dyDescent="0.25">
      <c r="B151" s="1" t="s">
        <v>170</v>
      </c>
      <c r="C151" s="1">
        <v>118551</v>
      </c>
      <c r="D151" s="1">
        <v>199</v>
      </c>
      <c r="F151" s="1" t="str">
        <f t="shared" si="24"/>
        <v>flint, michigan  48502</v>
      </c>
    </row>
    <row r="152" spans="2:6" ht="20.100000000000001" customHeight="1" x14ac:dyDescent="0.25">
      <c r="B152" s="1" t="s">
        <v>171</v>
      </c>
      <c r="C152" s="1">
        <v>193780</v>
      </c>
      <c r="D152" s="1">
        <v>107</v>
      </c>
      <c r="F152" s="1" t="str">
        <f t="shared" si="24"/>
        <v>grand rapids, michigan  49501</v>
      </c>
    </row>
    <row r="153" spans="2:6" ht="20.100000000000001" customHeight="1" x14ac:dyDescent="0.25">
      <c r="B153" s="1" t="s">
        <v>172</v>
      </c>
      <c r="C153" s="1">
        <v>115518</v>
      </c>
      <c r="D153" s="1">
        <v>205</v>
      </c>
      <c r="F153" s="1" t="str">
        <f t="shared" si="24"/>
        <v>lansing, michigan  48924</v>
      </c>
    </row>
    <row r="154" spans="2:6" ht="20.100000000000001" customHeight="1" x14ac:dyDescent="0.25">
      <c r="B154" s="1" t="s">
        <v>173</v>
      </c>
      <c r="C154" s="1">
        <v>128034</v>
      </c>
      <c r="D154" s="1">
        <v>184</v>
      </c>
      <c r="F154" s="1" t="str">
        <f t="shared" si="24"/>
        <v>sterling heights, michigan  48311</v>
      </c>
    </row>
    <row r="155" spans="2:6" ht="20.100000000000001" customHeight="1" x14ac:dyDescent="0.25">
      <c r="B155" s="1" t="s">
        <v>174</v>
      </c>
      <c r="C155" s="1">
        <v>135311</v>
      </c>
      <c r="D155" s="1">
        <v>172</v>
      </c>
    </row>
    <row r="156" spans="2:6" ht="20.100000000000001" customHeight="1" x14ac:dyDescent="0.25">
      <c r="B156" s="1" t="s">
        <v>175</v>
      </c>
      <c r="C156" s="1">
        <v>372811</v>
      </c>
      <c r="D156" s="1">
        <v>48</v>
      </c>
      <c r="F156" s="1" t="str">
        <f t="shared" ref="F156:F187" si="25">LOWER(B156)</f>
        <v>minneapolis, minnesota  55401</v>
      </c>
    </row>
    <row r="157" spans="2:6" ht="20.100000000000001" customHeight="1" x14ac:dyDescent="0.25">
      <c r="B157" s="1" t="s">
        <v>176</v>
      </c>
      <c r="C157" s="1">
        <v>275150</v>
      </c>
      <c r="D157" s="1">
        <v>67</v>
      </c>
      <c r="F157" s="1" t="str">
        <f t="shared" si="24"/>
        <v>st. paul, minnesota  55109</v>
      </c>
    </row>
    <row r="158" spans="2:6" ht="20.100000000000001" customHeight="1" x14ac:dyDescent="0.25">
      <c r="B158" s="1" t="s">
        <v>177</v>
      </c>
      <c r="C158" s="1">
        <v>177977</v>
      </c>
      <c r="D158" s="1">
        <v>123</v>
      </c>
      <c r="F158" s="1" t="str">
        <f t="shared" si="24"/>
        <v>jackson, mississippi  39205</v>
      </c>
    </row>
    <row r="159" spans="2:6" ht="20.100000000000001" customHeight="1" x14ac:dyDescent="0.25">
      <c r="B159" s="1" t="s">
        <v>178</v>
      </c>
      <c r="C159" s="1">
        <v>110208</v>
      </c>
      <c r="D159" s="1">
        <v>216</v>
      </c>
      <c r="F159" s="1" t="str">
        <f t="shared" si="24"/>
        <v>independence, missouri  64052</v>
      </c>
    </row>
    <row r="160" spans="2:6" ht="20.100000000000001" customHeight="1" x14ac:dyDescent="0.25">
      <c r="B160" s="1" t="s">
        <v>179</v>
      </c>
      <c r="C160" s="1">
        <v>444965</v>
      </c>
      <c r="D160" s="1">
        <v>40</v>
      </c>
      <c r="F160" s="1" t="str">
        <f t="shared" si="24"/>
        <v>kansas city, missouri  64108</v>
      </c>
    </row>
    <row r="161" spans="2:6" ht="20.100000000000001" customHeight="1" x14ac:dyDescent="0.25">
      <c r="B161" s="1" t="s">
        <v>180</v>
      </c>
      <c r="C161" s="1">
        <v>150298</v>
      </c>
      <c r="D161" s="1">
        <v>149</v>
      </c>
      <c r="F161" s="1" t="str">
        <f t="shared" si="24"/>
        <v>springfield, missouri  65801</v>
      </c>
    </row>
    <row r="162" spans="2:6" ht="20.100000000000001" customHeight="1" x14ac:dyDescent="0.25">
      <c r="B162" s="1" t="s">
        <v>181</v>
      </c>
      <c r="C162" s="1">
        <v>344362</v>
      </c>
      <c r="D162" s="1">
        <v>52</v>
      </c>
      <c r="F162" s="1" t="str">
        <f t="shared" si="24"/>
        <v>st. louis, missouri  63155</v>
      </c>
    </row>
    <row r="163" spans="2:6" ht="20.100000000000001" customHeight="1" x14ac:dyDescent="0.25">
      <c r="B163" s="1" t="s">
        <v>182</v>
      </c>
      <c r="C163" s="1">
        <v>239213</v>
      </c>
      <c r="D163" s="1">
        <v>74</v>
      </c>
      <c r="F163" s="1" t="str">
        <f t="shared" si="24"/>
        <v>lincoln, nebraska  68501</v>
      </c>
    </row>
    <row r="164" spans="2:6" ht="20.100000000000001" customHeight="1" x14ac:dyDescent="0.25">
      <c r="B164" s="1" t="s">
        <v>183</v>
      </c>
      <c r="C164" s="1">
        <v>414521</v>
      </c>
      <c r="D164" s="1">
        <v>43</v>
      </c>
      <c r="F164" s="1" t="str">
        <f t="shared" si="24"/>
        <v>omaha, nebraska  68108</v>
      </c>
    </row>
    <row r="165" spans="2:6" ht="20.100000000000001" customHeight="1" x14ac:dyDescent="0.25">
      <c r="B165" s="1" t="s">
        <v>184</v>
      </c>
      <c r="C165" s="1">
        <v>232146</v>
      </c>
      <c r="D165" s="1">
        <v>76</v>
      </c>
      <c r="F165" s="1" t="str">
        <f t="shared" si="24"/>
        <v>henderson, nevada  89015</v>
      </c>
    </row>
    <row r="166" spans="2:6" ht="20.100000000000001" customHeight="1" x14ac:dyDescent="0.25">
      <c r="B166" s="1" t="s">
        <v>185</v>
      </c>
      <c r="C166" s="1">
        <v>545147</v>
      </c>
      <c r="D166" s="1">
        <v>29</v>
      </c>
      <c r="F166" s="1" t="str">
        <f t="shared" si="24"/>
        <v>las vegas, nevada  89199</v>
      </c>
    </row>
    <row r="167" spans="2:6" ht="20.100000000000001" customHeight="1" x14ac:dyDescent="0.25">
      <c r="B167" s="1" t="s">
        <v>186</v>
      </c>
      <c r="C167" s="1">
        <v>176635</v>
      </c>
      <c r="D167" s="1">
        <v>125</v>
      </c>
      <c r="F167" s="1" t="str">
        <f t="shared" si="24"/>
        <v>north las vegas, nevada  89030</v>
      </c>
    </row>
    <row r="168" spans="2:6" ht="20.100000000000001" customHeight="1" x14ac:dyDescent="0.25">
      <c r="B168" s="1" t="s">
        <v>187</v>
      </c>
      <c r="C168" s="1">
        <v>203550</v>
      </c>
      <c r="D168" s="1">
        <v>95</v>
      </c>
      <c r="F168" s="1" t="str">
        <f t="shared" si="24"/>
        <v>reno, nevada  89510</v>
      </c>
    </row>
    <row r="169" spans="2:6" ht="20.100000000000001" customHeight="1" x14ac:dyDescent="0.25">
      <c r="B169" s="1" t="s">
        <v>188</v>
      </c>
      <c r="C169" s="1">
        <v>109691</v>
      </c>
      <c r="D169" s="1">
        <v>219</v>
      </c>
      <c r="F169" s="1" t="str">
        <f t="shared" si="24"/>
        <v>manchester, new hampshire  03103</v>
      </c>
    </row>
    <row r="170" spans="2:6" ht="20.100000000000001" customHeight="1" x14ac:dyDescent="0.25">
      <c r="B170" s="1" t="s">
        <v>189</v>
      </c>
      <c r="C170" s="1">
        <v>125809</v>
      </c>
      <c r="D170" s="1">
        <v>186</v>
      </c>
      <c r="F170" s="1" t="str">
        <f t="shared" si="24"/>
        <v>elizabeth, new jersey  07208</v>
      </c>
    </row>
    <row r="171" spans="2:6" ht="20.100000000000001" customHeight="1" x14ac:dyDescent="0.25">
      <c r="B171" s="1" t="s">
        <v>190</v>
      </c>
      <c r="C171" s="1">
        <v>239614</v>
      </c>
      <c r="D171" s="1">
        <v>72</v>
      </c>
      <c r="F171" s="1" t="str">
        <f t="shared" si="24"/>
        <v>jersey city, new jersey  07302</v>
      </c>
    </row>
    <row r="172" spans="2:6" ht="20.100000000000001" customHeight="1" x14ac:dyDescent="0.25">
      <c r="B172" s="1" t="s">
        <v>191</v>
      </c>
      <c r="C172" s="1">
        <v>280666</v>
      </c>
      <c r="D172" s="1">
        <v>65</v>
      </c>
    </row>
    <row r="173" spans="2:6" ht="20.100000000000001" customHeight="1" x14ac:dyDescent="0.25">
      <c r="B173" s="1" t="s">
        <v>192</v>
      </c>
      <c r="C173" s="1">
        <v>149843</v>
      </c>
      <c r="D173" s="1">
        <v>150</v>
      </c>
      <c r="F173" s="1" t="str">
        <f t="shared" ref="F173:F204" si="26">LOWER(B173)</f>
        <v>paterson, new jersey  07510</v>
      </c>
    </row>
    <row r="174" spans="2:6" ht="20.100000000000001" customHeight="1" x14ac:dyDescent="0.25">
      <c r="B174" s="1" t="s">
        <v>193</v>
      </c>
      <c r="C174" s="1">
        <v>494236</v>
      </c>
      <c r="D174" s="1">
        <v>33</v>
      </c>
      <c r="F174" s="1" t="str">
        <f t="shared" si="24"/>
        <v>albuquerque, new mexico  87101</v>
      </c>
    </row>
    <row r="175" spans="2:6" ht="20.100000000000001" customHeight="1" x14ac:dyDescent="0.25">
      <c r="B175" s="1" t="s">
        <v>194</v>
      </c>
      <c r="C175" s="1">
        <v>279745</v>
      </c>
      <c r="D175" s="1">
        <v>66</v>
      </c>
      <c r="F175" s="1" t="str">
        <f t="shared" si="24"/>
        <v>buffalo, new york   14240</v>
      </c>
    </row>
    <row r="176" spans="2:6" ht="20.100000000000001" customHeight="1" x14ac:dyDescent="0.25">
      <c r="B176" s="1" t="s">
        <v>195</v>
      </c>
      <c r="C176" s="1">
        <v>8143197</v>
      </c>
      <c r="D176" s="1">
        <v>1</v>
      </c>
      <c r="F176" s="1" t="str">
        <f t="shared" si="24"/>
        <v>new york, new york   10199</v>
      </c>
    </row>
    <row r="177" spans="2:6" ht="20.100000000000001" customHeight="1" x14ac:dyDescent="0.25">
      <c r="B177" s="1" t="s">
        <v>196</v>
      </c>
      <c r="C177" s="1">
        <v>211091</v>
      </c>
      <c r="D177" s="1">
        <v>88</v>
      </c>
      <c r="F177" s="1" t="str">
        <f t="shared" si="24"/>
        <v>rochester, new york   14692</v>
      </c>
    </row>
    <row r="178" spans="2:6" ht="20.100000000000001" customHeight="1" x14ac:dyDescent="0.25">
      <c r="B178" s="1" t="s">
        <v>197</v>
      </c>
      <c r="C178" s="1">
        <v>141683</v>
      </c>
      <c r="D178" s="1">
        <v>162</v>
      </c>
      <c r="F178" s="1" t="str">
        <f t="shared" si="24"/>
        <v>syracuse, new york   13220</v>
      </c>
    </row>
    <row r="179" spans="2:6" ht="20.100000000000001" customHeight="1" x14ac:dyDescent="0.25">
      <c r="B179" s="1" t="s">
        <v>198</v>
      </c>
      <c r="C179" s="1">
        <v>196425</v>
      </c>
      <c r="D179" s="1">
        <v>102</v>
      </c>
      <c r="F179" s="1" t="str">
        <f t="shared" si="24"/>
        <v>yonkers, new york   10701</v>
      </c>
    </row>
    <row r="180" spans="2:6" ht="20.100000000000001" customHeight="1" x14ac:dyDescent="0.25">
      <c r="B180" s="1" t="s">
        <v>199</v>
      </c>
      <c r="C180" s="1">
        <v>106439</v>
      </c>
      <c r="D180" s="1">
        <v>228</v>
      </c>
      <c r="F180" s="1" t="str">
        <f t="shared" si="24"/>
        <v>cary, north carolina  27511</v>
      </c>
    </row>
    <row r="181" spans="2:6" ht="20.100000000000001" customHeight="1" x14ac:dyDescent="0.25">
      <c r="B181" s="1" t="s">
        <v>200</v>
      </c>
      <c r="C181" s="1">
        <v>610949</v>
      </c>
      <c r="D181" s="1">
        <v>20</v>
      </c>
      <c r="F181" s="1" t="str">
        <f t="shared" si="24"/>
        <v>charlotte, north carolina  28228</v>
      </c>
    </row>
    <row r="182" spans="2:6" ht="20.100000000000001" customHeight="1" x14ac:dyDescent="0.25">
      <c r="B182" s="1" t="s">
        <v>201</v>
      </c>
      <c r="C182" s="1">
        <v>204845</v>
      </c>
      <c r="D182" s="1">
        <v>94</v>
      </c>
      <c r="F182" s="1" t="str">
        <f t="shared" si="24"/>
        <v>durham, north carolina  27701</v>
      </c>
    </row>
    <row r="183" spans="2:6" ht="20.100000000000001" customHeight="1" x14ac:dyDescent="0.25">
      <c r="B183" s="1" t="s">
        <v>202</v>
      </c>
      <c r="C183" s="1">
        <v>129928</v>
      </c>
      <c r="D183" s="1">
        <v>179</v>
      </c>
      <c r="F183" s="1" t="str">
        <f t="shared" si="24"/>
        <v>fayetteville, north carolina  28302</v>
      </c>
    </row>
    <row r="184" spans="2:6" ht="20.100000000000001" customHeight="1" x14ac:dyDescent="0.25">
      <c r="B184" s="1" t="s">
        <v>203</v>
      </c>
      <c r="C184" s="1">
        <v>231962</v>
      </c>
      <c r="D184" s="1">
        <v>77</v>
      </c>
      <c r="F184" s="1" t="str">
        <f t="shared" si="24"/>
        <v>greensboro, north carolina  27420</v>
      </c>
    </row>
    <row r="185" spans="2:6" ht="20.100000000000001" customHeight="1" x14ac:dyDescent="0.25">
      <c r="B185" s="1" t="s">
        <v>204</v>
      </c>
      <c r="C185" s="1">
        <v>341530</v>
      </c>
      <c r="D185" s="1">
        <v>53</v>
      </c>
      <c r="F185" s="1" t="str">
        <f t="shared" si="24"/>
        <v>raleigh, north carolina  27613</v>
      </c>
    </row>
    <row r="186" spans="2:6" ht="20.100000000000001" customHeight="1" x14ac:dyDescent="0.25">
      <c r="B186" s="1" t="s">
        <v>205</v>
      </c>
      <c r="C186" s="1">
        <v>193755</v>
      </c>
      <c r="D186" s="1">
        <v>109</v>
      </c>
      <c r="F186" s="1" t="str">
        <f t="shared" si="24"/>
        <v>winston, north carolina  27102</v>
      </c>
    </row>
    <row r="187" spans="2:6" ht="20.100000000000001" customHeight="1" x14ac:dyDescent="0.25">
      <c r="B187" s="1" t="s">
        <v>206</v>
      </c>
      <c r="C187" s="1">
        <v>210795</v>
      </c>
      <c r="D187" s="1">
        <v>89</v>
      </c>
      <c r="F187" s="1" t="str">
        <f t="shared" si="24"/>
        <v>akron, ohio  44309</v>
      </c>
    </row>
    <row r="188" spans="2:6" ht="20.100000000000001" customHeight="1" x14ac:dyDescent="0.25">
      <c r="B188" s="1" t="s">
        <v>207</v>
      </c>
      <c r="C188" s="1">
        <v>308728</v>
      </c>
      <c r="D188" s="1">
        <v>58</v>
      </c>
      <c r="F188" s="1" t="str">
        <f t="shared" si="24"/>
        <v>cincinnati, ohio  45225</v>
      </c>
    </row>
    <row r="189" spans="2:6" ht="20.100000000000001" customHeight="1" x14ac:dyDescent="0.25">
      <c r="B189" s="1" t="s">
        <v>208</v>
      </c>
      <c r="C189" s="1">
        <v>452208</v>
      </c>
      <c r="D189" s="1">
        <v>39</v>
      </c>
    </row>
    <row r="190" spans="2:6" ht="20.100000000000001" customHeight="1" x14ac:dyDescent="0.25">
      <c r="B190" s="1" t="s">
        <v>209</v>
      </c>
      <c r="C190" s="1">
        <v>730657</v>
      </c>
      <c r="D190" s="1">
        <v>15</v>
      </c>
      <c r="F190" s="1" t="str">
        <f t="shared" ref="F190:F221" si="27">LOWER(B190)</f>
        <v>columbus, ohio  43216</v>
      </c>
    </row>
    <row r="191" spans="2:6" ht="20.100000000000001" customHeight="1" x14ac:dyDescent="0.25">
      <c r="B191" s="1" t="s">
        <v>210</v>
      </c>
      <c r="C191" s="1">
        <v>158873</v>
      </c>
      <c r="D191" s="1">
        <v>140</v>
      </c>
      <c r="F191" s="1" t="str">
        <f t="shared" si="24"/>
        <v>dayton, ohio  45401</v>
      </c>
    </row>
    <row r="192" spans="2:6" ht="20.100000000000001" customHeight="1" x14ac:dyDescent="0.25">
      <c r="B192" s="1" t="s">
        <v>211</v>
      </c>
      <c r="C192" s="1">
        <v>301285</v>
      </c>
      <c r="D192" s="1">
        <v>59</v>
      </c>
      <c r="F192" s="1" t="str">
        <f t="shared" si="24"/>
        <v>toledo, ohio  43601</v>
      </c>
    </row>
    <row r="193" spans="2:6" ht="20.100000000000001" customHeight="1" x14ac:dyDescent="0.25">
      <c r="B193" s="1" t="s">
        <v>212</v>
      </c>
      <c r="C193" s="1">
        <v>101719</v>
      </c>
      <c r="D193" s="1">
        <v>246</v>
      </c>
      <c r="F193" s="1" t="str">
        <f t="shared" si="24"/>
        <v>norman, oklahoma  73019</v>
      </c>
    </row>
    <row r="194" spans="2:6" ht="20.100000000000001" customHeight="1" x14ac:dyDescent="0.25">
      <c r="B194" s="1" t="s">
        <v>213</v>
      </c>
      <c r="C194" s="1">
        <v>531324</v>
      </c>
      <c r="D194" s="1">
        <v>31</v>
      </c>
      <c r="F194" s="1" t="str">
        <f t="shared" si="24"/>
        <v>oklahoma city, oklahoma  73125</v>
      </c>
    </row>
    <row r="195" spans="2:6" ht="20.100000000000001" customHeight="1" x14ac:dyDescent="0.25">
      <c r="B195" s="1" t="s">
        <v>214</v>
      </c>
      <c r="C195" s="1">
        <v>382457</v>
      </c>
      <c r="D195" s="1">
        <v>46</v>
      </c>
      <c r="F195" s="1" t="str">
        <f t="shared" si="24"/>
        <v>tulsa, oklahoma  74107</v>
      </c>
    </row>
    <row r="196" spans="2:6" ht="20.100000000000001" customHeight="1" x14ac:dyDescent="0.25">
      <c r="B196" s="1" t="s">
        <v>215</v>
      </c>
      <c r="C196" s="1">
        <v>144515</v>
      </c>
      <c r="D196" s="1">
        <v>156</v>
      </c>
      <c r="F196" s="1" t="str">
        <f t="shared" si="24"/>
        <v>eugene, oregon  97401</v>
      </c>
    </row>
    <row r="197" spans="2:6" ht="20.100000000000001" customHeight="1" x14ac:dyDescent="0.25">
      <c r="B197" s="1" t="s">
        <v>216</v>
      </c>
      <c r="C197" s="1">
        <v>533427</v>
      </c>
      <c r="D197" s="1">
        <v>30</v>
      </c>
      <c r="F197" s="1" t="str">
        <f t="shared" si="24"/>
        <v>portland, oregon  97208</v>
      </c>
    </row>
    <row r="198" spans="2:6" ht="20.100000000000001" customHeight="1" x14ac:dyDescent="0.25">
      <c r="B198" s="1" t="s">
        <v>217</v>
      </c>
      <c r="C198" s="1">
        <v>148751</v>
      </c>
      <c r="D198" s="1">
        <v>152</v>
      </c>
      <c r="F198" s="1" t="str">
        <f t="shared" si="24"/>
        <v>salem, oregon  97309</v>
      </c>
    </row>
    <row r="199" spans="2:6" ht="20.100000000000001" customHeight="1" x14ac:dyDescent="0.25">
      <c r="B199" s="1" t="s">
        <v>218</v>
      </c>
      <c r="C199" s="1">
        <v>106992</v>
      </c>
      <c r="D199" s="1">
        <v>225</v>
      </c>
      <c r="F199" s="1" t="str">
        <f t="shared" si="24"/>
        <v>allentown, pennsylvania  18101</v>
      </c>
    </row>
    <row r="200" spans="2:6" ht="20.100000000000001" customHeight="1" x14ac:dyDescent="0.25">
      <c r="B200" s="1" t="s">
        <v>219</v>
      </c>
      <c r="C200" s="1">
        <v>102612</v>
      </c>
      <c r="D200" s="1">
        <v>244</v>
      </c>
      <c r="F200" s="1" t="str">
        <f t="shared" si="24"/>
        <v>erie, pennsylvania  16515</v>
      </c>
    </row>
    <row r="201" spans="2:6" ht="20.100000000000001" customHeight="1" x14ac:dyDescent="0.25">
      <c r="B201" s="1" t="s">
        <v>220</v>
      </c>
      <c r="C201" s="1">
        <v>1463281</v>
      </c>
      <c r="D201" s="1">
        <v>5</v>
      </c>
      <c r="F201" s="1" t="str">
        <f t="shared" si="24"/>
        <v>philadelphia, pennsylvania  19104</v>
      </c>
    </row>
    <row r="202" spans="2:6" ht="20.100000000000001" customHeight="1" x14ac:dyDescent="0.25">
      <c r="B202" s="1" t="s">
        <v>221</v>
      </c>
      <c r="C202" s="1">
        <v>316718</v>
      </c>
      <c r="D202" s="1">
        <v>57</v>
      </c>
      <c r="F202" s="1" t="str">
        <f t="shared" si="24"/>
        <v>pittsburgh, pennsylvania  15290</v>
      </c>
    </row>
    <row r="203" spans="2:6" ht="20.100000000000001" customHeight="1" x14ac:dyDescent="0.25">
      <c r="B203" s="1" t="s">
        <v>222</v>
      </c>
      <c r="C203" s="1">
        <v>176862</v>
      </c>
      <c r="D203" s="1">
        <v>124</v>
      </c>
      <c r="F203" s="1" t="str">
        <f t="shared" si="24"/>
        <v>providence, rhode island  02904</v>
      </c>
    </row>
    <row r="204" spans="2:6" ht="20.100000000000001" customHeight="1" x14ac:dyDescent="0.25">
      <c r="B204" s="1" t="s">
        <v>223</v>
      </c>
      <c r="C204" s="1">
        <v>106712</v>
      </c>
      <c r="D204" s="1">
        <v>226</v>
      </c>
      <c r="F204" s="1" t="str">
        <f t="shared" si="24"/>
        <v>charleston, south carolina  29401</v>
      </c>
    </row>
    <row r="205" spans="2:6" ht="20.100000000000001" customHeight="1" x14ac:dyDescent="0.25">
      <c r="B205" s="1" t="s">
        <v>224</v>
      </c>
      <c r="C205" s="1">
        <v>117088</v>
      </c>
      <c r="D205" s="1">
        <v>202</v>
      </c>
      <c r="F205" s="1" t="str">
        <f t="shared" si="24"/>
        <v>columbia, south carolina  29201</v>
      </c>
    </row>
    <row r="206" spans="2:6" ht="20.100000000000001" customHeight="1" x14ac:dyDescent="0.25">
      <c r="B206" s="1" t="s">
        <v>225</v>
      </c>
      <c r="C206" s="1">
        <v>139517</v>
      </c>
      <c r="D206" s="1">
        <v>167</v>
      </c>
    </row>
    <row r="207" spans="2:6" ht="20.100000000000001" customHeight="1" x14ac:dyDescent="0.25">
      <c r="B207" s="1" t="s">
        <v>226</v>
      </c>
      <c r="C207" s="1">
        <v>154762</v>
      </c>
      <c r="D207" s="1">
        <v>143</v>
      </c>
      <c r="F207" s="1" t="str">
        <f t="shared" ref="F207:F238" si="28">LOWER(B207)</f>
        <v>chattanooga, tennessee  37421</v>
      </c>
    </row>
    <row r="208" spans="2:6" ht="20.100000000000001" customHeight="1" x14ac:dyDescent="0.25">
      <c r="B208" s="1" t="s">
        <v>227</v>
      </c>
      <c r="C208" s="1">
        <v>112878</v>
      </c>
      <c r="D208" s="1">
        <v>210</v>
      </c>
      <c r="F208" s="1" t="str">
        <f t="shared" si="24"/>
        <v>clarksville, tennessee  37043</v>
      </c>
    </row>
    <row r="209" spans="2:6" ht="20.100000000000001" customHeight="1" x14ac:dyDescent="0.25">
      <c r="B209" s="1" t="s">
        <v>228</v>
      </c>
      <c r="C209" s="1">
        <v>180130</v>
      </c>
      <c r="D209" s="1">
        <v>119</v>
      </c>
      <c r="F209" s="1" t="str">
        <f t="shared" si="24"/>
        <v>knoxville, tennessee  37950</v>
      </c>
    </row>
    <row r="210" spans="2:6" ht="20.100000000000001" customHeight="1" x14ac:dyDescent="0.25">
      <c r="B210" s="1" t="s">
        <v>229</v>
      </c>
      <c r="C210" s="1">
        <v>672277</v>
      </c>
      <c r="D210" s="1">
        <v>17</v>
      </c>
      <c r="F210" s="1" t="str">
        <f t="shared" si="24"/>
        <v>memphis, tennessee  38101</v>
      </c>
    </row>
    <row r="211" spans="2:6" ht="20.100000000000001" customHeight="1" x14ac:dyDescent="0.25">
      <c r="B211" s="1" t="s">
        <v>230</v>
      </c>
      <c r="C211" s="1">
        <v>549110</v>
      </c>
      <c r="D211" s="1">
        <v>28</v>
      </c>
      <c r="F211" s="1" t="str">
        <f t="shared" si="24"/>
        <v>nashville, tennessee  37230</v>
      </c>
    </row>
    <row r="212" spans="2:6" ht="20.100000000000001" customHeight="1" x14ac:dyDescent="0.25">
      <c r="B212" s="1" t="s">
        <v>231</v>
      </c>
      <c r="C212" s="1">
        <v>114757</v>
      </c>
      <c r="D212" s="1">
        <v>206</v>
      </c>
      <c r="F212" s="1" t="str">
        <f t="shared" ref="F212:F257" si="29">LOWER(B212)</f>
        <v>abilene, texas  79604</v>
      </c>
    </row>
    <row r="213" spans="2:6" ht="20.100000000000001" customHeight="1" x14ac:dyDescent="0.25">
      <c r="B213" s="1" t="s">
        <v>232</v>
      </c>
      <c r="C213" s="1">
        <v>183021</v>
      </c>
      <c r="D213" s="1">
        <v>118</v>
      </c>
      <c r="F213" s="1" t="str">
        <f t="shared" si="29"/>
        <v>amarillo, texas  79120</v>
      </c>
    </row>
    <row r="214" spans="2:6" ht="20.100000000000001" customHeight="1" x14ac:dyDescent="0.25">
      <c r="B214" s="1" t="s">
        <v>233</v>
      </c>
      <c r="C214" s="1">
        <v>362805</v>
      </c>
      <c r="D214" s="1">
        <v>50</v>
      </c>
      <c r="F214" s="1" t="str">
        <f t="shared" si="29"/>
        <v>arlington, texas  76004</v>
      </c>
    </row>
    <row r="215" spans="2:6" ht="20.100000000000001" customHeight="1" x14ac:dyDescent="0.25">
      <c r="B215" s="1" t="s">
        <v>234</v>
      </c>
      <c r="C215" s="1">
        <v>690252</v>
      </c>
      <c r="D215" s="1">
        <v>16</v>
      </c>
      <c r="F215" s="1" t="str">
        <f t="shared" si="29"/>
        <v>austin, texas  78710</v>
      </c>
    </row>
    <row r="216" spans="2:6" ht="20.100000000000001" customHeight="1" x14ac:dyDescent="0.25">
      <c r="B216" s="1" t="s">
        <v>235</v>
      </c>
      <c r="C216" s="1">
        <v>111799</v>
      </c>
      <c r="D216" s="1">
        <v>214</v>
      </c>
      <c r="F216" s="1" t="str">
        <f t="shared" si="29"/>
        <v>beaumont, texas  77707</v>
      </c>
    </row>
    <row r="217" spans="2:6" ht="20.100000000000001" customHeight="1" x14ac:dyDescent="0.25">
      <c r="B217" s="1" t="s">
        <v>236</v>
      </c>
      <c r="C217" s="1">
        <v>167493</v>
      </c>
      <c r="D217" s="1">
        <v>132</v>
      </c>
      <c r="F217" s="1" t="str">
        <f t="shared" si="29"/>
        <v>brownsville, texas  78520</v>
      </c>
    </row>
    <row r="218" spans="2:6" ht="20.100000000000001" customHeight="1" x14ac:dyDescent="0.25">
      <c r="B218" s="1" t="s">
        <v>237</v>
      </c>
      <c r="C218" s="1">
        <v>118870</v>
      </c>
      <c r="D218" s="1">
        <v>197</v>
      </c>
      <c r="F218" s="1" t="str">
        <f t="shared" si="29"/>
        <v>carrollton, texas  75006</v>
      </c>
    </row>
    <row r="219" spans="2:6" ht="20.100000000000001" customHeight="1" x14ac:dyDescent="0.25">
      <c r="B219" s="1" t="s">
        <v>238</v>
      </c>
      <c r="C219" s="1">
        <v>283474</v>
      </c>
      <c r="D219" s="1">
        <v>64</v>
      </c>
      <c r="F219" s="1" t="str">
        <f t="shared" si="29"/>
        <v>corpus christi, texas  78469</v>
      </c>
    </row>
    <row r="220" spans="2:6" ht="20.100000000000001" customHeight="1" x14ac:dyDescent="0.25">
      <c r="B220" s="1" t="s">
        <v>239</v>
      </c>
      <c r="C220" s="1">
        <v>1213825</v>
      </c>
      <c r="D220" s="1">
        <v>9</v>
      </c>
      <c r="F220" s="1" t="str">
        <f t="shared" si="29"/>
        <v>dallas, texas  75260</v>
      </c>
    </row>
    <row r="221" spans="2:6" ht="20.100000000000001" customHeight="1" x14ac:dyDescent="0.25">
      <c r="B221" s="1" t="s">
        <v>240</v>
      </c>
      <c r="C221" s="1">
        <v>104153</v>
      </c>
      <c r="D221" s="1">
        <v>237</v>
      </c>
      <c r="F221" s="1" t="str">
        <f t="shared" si="29"/>
        <v>denton, texas  76201</v>
      </c>
    </row>
    <row r="222" spans="2:6" ht="20.100000000000001" customHeight="1" x14ac:dyDescent="0.25">
      <c r="B222" s="1" t="s">
        <v>241</v>
      </c>
      <c r="C222" s="1">
        <v>598590</v>
      </c>
      <c r="D222" s="1">
        <v>21</v>
      </c>
      <c r="F222" s="1" t="str">
        <f t="shared" si="29"/>
        <v>el paso, texas  79910</v>
      </c>
    </row>
    <row r="223" spans="2:6" ht="20.100000000000001" customHeight="1" x14ac:dyDescent="0.25">
      <c r="B223" s="1" t="s">
        <v>242</v>
      </c>
      <c r="C223" s="1">
        <v>624067</v>
      </c>
      <c r="D223" s="1">
        <v>19</v>
      </c>
    </row>
    <row r="224" spans="2:6" ht="20.100000000000001" customHeight="1" x14ac:dyDescent="0.25">
      <c r="B224" s="1" t="s">
        <v>243</v>
      </c>
      <c r="C224" s="1">
        <v>216346</v>
      </c>
      <c r="D224" s="1">
        <v>86</v>
      </c>
      <c r="F224" s="1" t="str">
        <f t="shared" ref="F224:F257" si="30">LOWER(B224)</f>
        <v>garland, texas  75040</v>
      </c>
    </row>
    <row r="225" spans="2:6" ht="20.100000000000001" customHeight="1" x14ac:dyDescent="0.25">
      <c r="B225" s="1" t="s">
        <v>244</v>
      </c>
      <c r="C225" s="1">
        <v>144337</v>
      </c>
      <c r="D225" s="1">
        <v>157</v>
      </c>
      <c r="F225" s="1" t="str">
        <f t="shared" si="29"/>
        <v>grand prairie, texas  75051</v>
      </c>
    </row>
    <row r="226" spans="2:6" ht="20.100000000000001" customHeight="1" x14ac:dyDescent="0.25">
      <c r="B226" s="1" t="s">
        <v>245</v>
      </c>
      <c r="C226" s="1">
        <v>2016582</v>
      </c>
      <c r="D226" s="1">
        <v>4</v>
      </c>
      <c r="F226" s="1" t="str">
        <f t="shared" si="29"/>
        <v>houston, texas  77201</v>
      </c>
    </row>
    <row r="227" spans="2:6" ht="20.100000000000001" customHeight="1" x14ac:dyDescent="0.25">
      <c r="B227" s="1" t="s">
        <v>246</v>
      </c>
      <c r="C227" s="1">
        <v>193649</v>
      </c>
      <c r="D227" s="1">
        <v>110</v>
      </c>
      <c r="F227" s="1" t="str">
        <f t="shared" si="29"/>
        <v>irving, texas  75061</v>
      </c>
    </row>
    <row r="228" spans="2:6" ht="20.100000000000001" customHeight="1" x14ac:dyDescent="0.25">
      <c r="B228" s="1" t="s">
        <v>247</v>
      </c>
      <c r="C228" s="1">
        <v>100233</v>
      </c>
      <c r="D228" s="1">
        <v>251</v>
      </c>
      <c r="F228" s="1" t="str">
        <f t="shared" si="29"/>
        <v>killeen, texas  76541</v>
      </c>
    </row>
    <row r="229" spans="2:6" ht="20.100000000000001" customHeight="1" x14ac:dyDescent="0.25">
      <c r="B229" s="1" t="s">
        <v>248</v>
      </c>
      <c r="C229" s="1">
        <v>208754</v>
      </c>
      <c r="D229" s="1">
        <v>92</v>
      </c>
      <c r="F229" s="1" t="str">
        <f t="shared" si="29"/>
        <v>laredo, texas  78041</v>
      </c>
    </row>
    <row r="230" spans="2:6" ht="20.100000000000001" customHeight="1" x14ac:dyDescent="0.25">
      <c r="B230" s="1" t="s">
        <v>249</v>
      </c>
      <c r="C230" s="1">
        <v>209737</v>
      </c>
      <c r="D230" s="1">
        <v>91</v>
      </c>
      <c r="F230" s="1" t="str">
        <f t="shared" si="29"/>
        <v>lubbock, texas  79402</v>
      </c>
    </row>
    <row r="231" spans="2:6" ht="20.100000000000001" customHeight="1" x14ac:dyDescent="0.25">
      <c r="B231" s="1" t="s">
        <v>250</v>
      </c>
      <c r="C231" s="1">
        <v>123622</v>
      </c>
      <c r="D231" s="1">
        <v>190</v>
      </c>
      <c r="F231" s="1" t="str">
        <f t="shared" si="29"/>
        <v>mcallen, texas  78501</v>
      </c>
    </row>
    <row r="232" spans="2:6" ht="20.100000000000001" customHeight="1" x14ac:dyDescent="0.25">
      <c r="B232" s="1" t="s">
        <v>251</v>
      </c>
      <c r="C232" s="1">
        <v>129902</v>
      </c>
      <c r="D232" s="1">
        <v>180</v>
      </c>
      <c r="F232" s="1" t="str">
        <f t="shared" si="29"/>
        <v>mesquite, texas  75149</v>
      </c>
    </row>
    <row r="233" spans="2:6" ht="20.100000000000001" customHeight="1" x14ac:dyDescent="0.25">
      <c r="B233" s="1" t="s">
        <v>252</v>
      </c>
      <c r="C233" s="1">
        <v>143852</v>
      </c>
      <c r="D233" s="1">
        <v>159</v>
      </c>
      <c r="F233" s="1" t="str">
        <f t="shared" si="29"/>
        <v>pasadena, texas  77501</v>
      </c>
    </row>
    <row r="234" spans="2:6" ht="20.100000000000001" customHeight="1" x14ac:dyDescent="0.25">
      <c r="B234" s="1" t="s">
        <v>253</v>
      </c>
      <c r="C234" s="1">
        <v>250096</v>
      </c>
      <c r="D234" s="1">
        <v>70</v>
      </c>
      <c r="F234" s="1" t="str">
        <f t="shared" si="29"/>
        <v>plano, texas  75074</v>
      </c>
    </row>
    <row r="235" spans="2:6" ht="20.100000000000001" customHeight="1" x14ac:dyDescent="0.25">
      <c r="B235" s="1" t="s">
        <v>254</v>
      </c>
      <c r="C235" s="1">
        <v>1256509</v>
      </c>
      <c r="D235" s="1">
        <v>7</v>
      </c>
      <c r="F235" s="1" t="str">
        <f t="shared" si="29"/>
        <v>san antonio, texas  78284</v>
      </c>
    </row>
    <row r="236" spans="2:6" ht="20.100000000000001" customHeight="1" x14ac:dyDescent="0.25">
      <c r="B236" s="1" t="s">
        <v>255</v>
      </c>
      <c r="C236" s="1">
        <v>120465</v>
      </c>
      <c r="D236" s="1">
        <v>195</v>
      </c>
      <c r="F236" s="1" t="str">
        <f t="shared" si="29"/>
        <v>waco, texas  76702</v>
      </c>
    </row>
    <row r="237" spans="2:6" ht="20.100000000000001" customHeight="1" x14ac:dyDescent="0.25">
      <c r="B237" s="1" t="s">
        <v>256</v>
      </c>
      <c r="C237" s="1">
        <v>178097</v>
      </c>
      <c r="D237" s="1">
        <v>122</v>
      </c>
      <c r="F237" s="1" t="str">
        <f t="shared" si="29"/>
        <v>salt lake city, utah  84199</v>
      </c>
    </row>
    <row r="238" spans="2:6" ht="20.100000000000001" customHeight="1" x14ac:dyDescent="0.25">
      <c r="B238" s="1" t="s">
        <v>257</v>
      </c>
      <c r="C238" s="1">
        <v>113300</v>
      </c>
      <c r="D238" s="1">
        <v>208</v>
      </c>
      <c r="F238" s="1" t="str">
        <f t="shared" si="29"/>
        <v>west valley city, utah  84199</v>
      </c>
    </row>
    <row r="239" spans="2:6" ht="20.100000000000001" customHeight="1" x14ac:dyDescent="0.25">
      <c r="B239" s="1" t="s">
        <v>258</v>
      </c>
      <c r="C239" s="1">
        <v>135337</v>
      </c>
      <c r="D239" s="1">
        <v>171</v>
      </c>
      <c r="F239" s="1" t="str">
        <f t="shared" si="29"/>
        <v>alexandria, virginia  22314</v>
      </c>
    </row>
    <row r="240" spans="2:6" ht="20.100000000000001" customHeight="1" x14ac:dyDescent="0.25">
      <c r="B240" s="1" t="s">
        <v>259</v>
      </c>
      <c r="C240" s="1">
        <v>195965</v>
      </c>
      <c r="D240" s="1">
        <v>103</v>
      </c>
    </row>
    <row r="241" spans="2:6" ht="20.100000000000001" customHeight="1" x14ac:dyDescent="0.25">
      <c r="B241" s="1" t="s">
        <v>260</v>
      </c>
      <c r="C241" s="1">
        <v>218968</v>
      </c>
      <c r="D241" s="1">
        <v>85</v>
      </c>
      <c r="F241" s="1" t="str">
        <f t="shared" ref="F241:F257" si="31">LOWER(B241)</f>
        <v>chesapeake, virginia  23670</v>
      </c>
    </row>
    <row r="242" spans="2:6" ht="20.100000000000001" customHeight="1" x14ac:dyDescent="0.25">
      <c r="B242" s="1" t="s">
        <v>261</v>
      </c>
      <c r="C242" s="1">
        <v>145579</v>
      </c>
      <c r="D242" s="1">
        <v>155</v>
      </c>
      <c r="F242" s="1" t="str">
        <f t="shared" si="29"/>
        <v>hampton, virginia  23607</v>
      </c>
    </row>
    <row r="243" spans="2:6" ht="20.100000000000001" customHeight="1" x14ac:dyDescent="0.25">
      <c r="B243" s="1" t="s">
        <v>262</v>
      </c>
      <c r="C243" s="1">
        <v>179899</v>
      </c>
      <c r="D243" s="1">
        <v>120</v>
      </c>
      <c r="F243" s="1" t="str">
        <f t="shared" si="29"/>
        <v>newport news, virginia  23501</v>
      </c>
    </row>
    <row r="244" spans="2:6" ht="20.100000000000001" customHeight="1" x14ac:dyDescent="0.25">
      <c r="B244" s="1" t="s">
        <v>263</v>
      </c>
      <c r="C244" s="1">
        <v>231954</v>
      </c>
      <c r="D244" s="1">
        <v>78</v>
      </c>
      <c r="F244" s="1" t="str">
        <f t="shared" si="29"/>
        <v>norfolk, virginia  23707</v>
      </c>
    </row>
    <row r="245" spans="2:6" ht="20.100000000000001" customHeight="1" x14ac:dyDescent="0.25">
      <c r="B245" s="1" t="s">
        <v>264</v>
      </c>
      <c r="C245" s="1">
        <v>100169</v>
      </c>
      <c r="D245" s="1">
        <v>252</v>
      </c>
      <c r="F245" s="1" t="str">
        <f t="shared" si="29"/>
        <v>portsmouth, virginia  23702</v>
      </c>
    </row>
    <row r="246" spans="2:6" ht="20.100000000000001" customHeight="1" x14ac:dyDescent="0.25">
      <c r="B246" s="1" t="s">
        <v>265</v>
      </c>
      <c r="C246" s="1">
        <v>193777</v>
      </c>
      <c r="D246" s="1">
        <v>108</v>
      </c>
      <c r="F246" s="1" t="str">
        <f t="shared" si="29"/>
        <v>richmond, virginia  23232</v>
      </c>
    </row>
    <row r="247" spans="2:6" ht="20.100000000000001" customHeight="1" x14ac:dyDescent="0.25">
      <c r="B247" s="1" t="s">
        <v>266</v>
      </c>
      <c r="C247" s="1">
        <v>438415</v>
      </c>
      <c r="D247" s="1">
        <v>42</v>
      </c>
      <c r="F247" s="1" t="str">
        <f t="shared" si="29"/>
        <v>virginia beach, virginia  23450</v>
      </c>
    </row>
    <row r="248" spans="2:6" ht="20.100000000000001" customHeight="1" x14ac:dyDescent="0.25">
      <c r="B248" s="1" t="s">
        <v>267</v>
      </c>
      <c r="C248" s="1">
        <v>117137</v>
      </c>
      <c r="D248" s="1">
        <v>201</v>
      </c>
      <c r="F248" s="1" t="str">
        <f t="shared" si="29"/>
        <v>bellevue, washington  98009</v>
      </c>
    </row>
    <row r="249" spans="2:6" ht="20.100000000000001" customHeight="1" x14ac:dyDescent="0.25">
      <c r="B249" s="1" t="s">
        <v>268</v>
      </c>
      <c r="C249" s="1">
        <v>573911</v>
      </c>
      <c r="D249" s="1">
        <v>23</v>
      </c>
      <c r="F249" s="1" t="str">
        <f t="shared" si="29"/>
        <v>seattle, washington  98108</v>
      </c>
    </row>
    <row r="250" spans="2:6" ht="20.100000000000001" customHeight="1" x14ac:dyDescent="0.25">
      <c r="B250" s="1" t="s">
        <v>269</v>
      </c>
      <c r="C250" s="1">
        <v>196818</v>
      </c>
      <c r="D250" s="1">
        <v>101</v>
      </c>
      <c r="F250" s="1" t="str">
        <f t="shared" si="29"/>
        <v>spokane, washington  99201</v>
      </c>
    </row>
    <row r="251" spans="2:6" ht="20.100000000000001" customHeight="1" x14ac:dyDescent="0.25">
      <c r="B251" s="1" t="s">
        <v>270</v>
      </c>
      <c r="C251" s="1">
        <v>195898</v>
      </c>
      <c r="D251" s="1">
        <v>104</v>
      </c>
      <c r="F251" s="1" t="str">
        <f t="shared" si="29"/>
        <v>tacoma, washington  98413</v>
      </c>
    </row>
    <row r="252" spans="2:6" ht="20.100000000000001" customHeight="1" x14ac:dyDescent="0.25">
      <c r="B252" s="1" t="s">
        <v>271</v>
      </c>
      <c r="C252" s="1">
        <v>157493</v>
      </c>
      <c r="D252" s="1">
        <v>142</v>
      </c>
      <c r="F252" s="1" t="str">
        <f t="shared" si="29"/>
        <v>vancouver, washington  98668</v>
      </c>
    </row>
    <row r="253" spans="2:6" ht="20.100000000000001" customHeight="1" x14ac:dyDescent="0.25">
      <c r="B253" s="1" t="s">
        <v>272</v>
      </c>
      <c r="C253" s="1">
        <v>101203</v>
      </c>
      <c r="D253" s="1">
        <v>247</v>
      </c>
      <c r="F253" s="1" t="str">
        <f t="shared" si="29"/>
        <v>green bay, wisconsin  54303</v>
      </c>
    </row>
    <row r="254" spans="2:6" ht="20.100000000000001" customHeight="1" x14ac:dyDescent="0.25">
      <c r="B254" s="1" t="s">
        <v>273</v>
      </c>
      <c r="C254" s="1">
        <v>221551</v>
      </c>
      <c r="D254" s="1">
        <v>83</v>
      </c>
      <c r="F254" s="1" t="str">
        <f t="shared" si="29"/>
        <v>madison, wisconsin  53714</v>
      </c>
    </row>
    <row r="255" spans="2:6" ht="20.100000000000001" customHeight="1" x14ac:dyDescent="0.25">
      <c r="B255" s="1" t="s">
        <v>274</v>
      </c>
      <c r="C255" s="1">
        <v>578887</v>
      </c>
      <c r="D255" s="1">
        <v>22</v>
      </c>
      <c r="F255" s="1" t="str">
        <f t="shared" si="29"/>
        <v>milwaukee, wisconsin  53203</v>
      </c>
    </row>
    <row r="256" spans="2:6" ht="20.100000000000001" customHeight="1" x14ac:dyDescent="0.25">
      <c r="F256" s="1" t="str">
        <f t="shared" si="29"/>
        <v/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to Columns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Aditya Thorat</cp:lastModifiedBy>
  <dcterms:created xsi:type="dcterms:W3CDTF">2021-09-16T13:34:01Z</dcterms:created>
  <dcterms:modified xsi:type="dcterms:W3CDTF">2026-07-18T14:17:23Z</dcterms:modified>
</cp:coreProperties>
</file>