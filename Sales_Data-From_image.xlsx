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F3F9E5C4-54F6-4717-B4A9-6B8E3E6752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1" sheetId="1" r:id="rId1"/>
    <sheet name="S2" sheetId="3" r:id="rId2"/>
    <sheet name="S3" sheetId="2" r:id="rId3"/>
    <sheet name="Nested I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/>
  <c r="D3" i="4"/>
  <c r="D31" i="4"/>
  <c r="D32" i="4"/>
  <c r="D33" i="4"/>
  <c r="D34" i="4"/>
  <c r="D30" i="4"/>
  <c r="E21" i="4"/>
  <c r="E22" i="4"/>
  <c r="E23" i="4"/>
  <c r="E24" i="4"/>
  <c r="E20" i="4"/>
  <c r="D5" i="4"/>
  <c r="D7" i="4"/>
  <c r="D12" i="4"/>
  <c r="D13" i="4"/>
  <c r="D14" i="4"/>
  <c r="D15" i="4"/>
  <c r="D11" i="4"/>
  <c r="D22" i="4"/>
  <c r="D21" i="4"/>
  <c r="D23" i="4"/>
  <c r="D24" i="4"/>
  <c r="D20" i="4"/>
  <c r="D6" i="4"/>
</calcChain>
</file>

<file path=xl/sharedStrings.xml><?xml version="1.0" encoding="utf-8"?>
<sst xmlns="http://schemas.openxmlformats.org/spreadsheetml/2006/main" count="121" uniqueCount="53">
  <si>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</si>
  <si>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</si>
  <si>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</si>
  <si>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</si>
  <si>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</si>
  <si>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</si>
  <si>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</si>
  <si>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</si>
  <si>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</si>
  <si>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</si>
  <si>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</si>
  <si>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</si>
  <si>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</si>
  <si>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</si>
  <si>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</si>
  <si>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</si>
  <si>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</si>
  <si>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</si>
  <si>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</si>
  <si>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</si>
  <si>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</si>
  <si>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</si>
  <si>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</si>
  <si>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</si>
  <si>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</si>
  <si>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</si>
  <si>
    <t>+</t>
  </si>
  <si>
    <t>Name</t>
  </si>
  <si>
    <t>Marks</t>
  </si>
  <si>
    <t>Grade</t>
  </si>
  <si>
    <t>Manish</t>
  </si>
  <si>
    <t>Snehal</t>
  </si>
  <si>
    <t>Mangesh</t>
  </si>
  <si>
    <t>Sahil</t>
  </si>
  <si>
    <t>Sanjay</t>
  </si>
  <si>
    <t>ELSE</t>
  </si>
  <si>
    <t>Range</t>
  </si>
  <si>
    <t>Grades</t>
  </si>
  <si>
    <t>A++</t>
  </si>
  <si>
    <t>A+</t>
  </si>
  <si>
    <t>A</t>
  </si>
  <si>
    <t>B</t>
  </si>
  <si>
    <t>Fail</t>
  </si>
  <si>
    <t>Bonus</t>
  </si>
  <si>
    <t>Bonus Amount</t>
  </si>
  <si>
    <t>Sales Range</t>
  </si>
  <si>
    <t>&lt;50000</t>
  </si>
  <si>
    <t>No Bonus</t>
  </si>
  <si>
    <t>Sales</t>
  </si>
  <si>
    <t>Number-1</t>
  </si>
  <si>
    <t>Number-2</t>
  </si>
  <si>
    <t>Division</t>
  </si>
  <si>
    <r>
      <t xml:space="preserve">                  </t>
    </r>
    <r>
      <rPr>
        <b/>
        <sz val="11"/>
        <color theme="1"/>
        <rFont val="Calibri"/>
        <family val="2"/>
        <scheme val="minor"/>
      </rPr>
      <t>IF   ERROR  FORMULA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</si>
</sst>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Open Sans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44" fontId="1" fillId="0" borderId="0" xfId="0" applyNumberFormat="1" applyFont="1"/>
    <xf numFmtId="44" fontId="0" fillId="0" borderId="0" xfId="0" applyNumberFormat="1"/>
    <xf numFmtId="44" fontId="1" fillId="0" borderId="0" xfId="1" applyFont="1"/>
    <xf numFmtId="44" fontId="0" fillId="0" borderId="0" xfId="1" applyFont="1"/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9" fontId="0" fillId="0" borderId="1" xfId="0" applyNumberFormat="1" applyBorder="1"/>
    <xf numFmtId="0" fontId="0" fillId="2" borderId="1" xfId="0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Currency" xfId="1" builtinId="4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101" workbookViewId="0">
      <selection activeCell="I9" sqref="I9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2.109375" customWidth="1"/>
    <col min="4" max="4" width="12" customWidth="1"/>
    <col min="5" max="5" width="10.44140625" customWidth="1"/>
    <col min="6" max="6" width="12.77734375" style="6" customWidth="1"/>
    <col min="7" max="7" width="13.44140625" style="8" customWidth="1"/>
    <col min="10" max="10" width="36.44140625" bestFit="1" customWidth="1"/>
  </cols>
  <sheetData>
    <row r="1" spans="1:13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7" t="s">
        <v>6</v>
      </c>
      <c r="M1" s="3"/>
    </row>
    <row r="2" spans="1:13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6">
        <v>8237</v>
      </c>
      <c r="G2" s="8">
        <v>8690</v>
      </c>
    </row>
    <row r="3" spans="1:13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6">
        <v>10185</v>
      </c>
      <c r="G3" s="8">
        <v>18749</v>
      </c>
      <c r="J3" s="2" t="s">
        <v>25</v>
      </c>
    </row>
    <row r="4" spans="1:13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6">
        <v>13452</v>
      </c>
      <c r="G4" s="8">
        <v>8046</v>
      </c>
    </row>
    <row r="5" spans="1:13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6">
        <v>4404</v>
      </c>
      <c r="G5" s="8">
        <v>20114</v>
      </c>
    </row>
    <row r="6" spans="1:13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6">
        <v>3170</v>
      </c>
      <c r="G6" s="8">
        <v>10733</v>
      </c>
    </row>
    <row r="7" spans="1:13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6">
        <v>8817</v>
      </c>
      <c r="G7" s="8">
        <v>18524</v>
      </c>
    </row>
    <row r="8" spans="1:13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6">
        <v>13090</v>
      </c>
      <c r="G8" s="8">
        <v>13953</v>
      </c>
    </row>
    <row r="9" spans="1:13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6">
        <v>3528</v>
      </c>
      <c r="G9" s="8">
        <v>15275</v>
      </c>
    </row>
    <row r="10" spans="1:13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6">
        <v>4839</v>
      </c>
      <c r="G10" s="8">
        <v>13085</v>
      </c>
    </row>
    <row r="11" spans="1:13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6">
        <v>9642</v>
      </c>
      <c r="G11" s="8">
        <v>13714</v>
      </c>
    </row>
    <row r="12" spans="1:13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6">
        <v>5850</v>
      </c>
      <c r="G12" s="8">
        <v>15065</v>
      </c>
    </row>
    <row r="13" spans="1:13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6">
        <v>10024</v>
      </c>
      <c r="G13" s="8">
        <v>18389</v>
      </c>
    </row>
    <row r="14" spans="1:13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6">
        <v>5503</v>
      </c>
      <c r="G14" s="8">
        <v>10686</v>
      </c>
    </row>
    <row r="15" spans="1:13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6">
        <v>13547</v>
      </c>
      <c r="G15" s="8">
        <v>21983</v>
      </c>
    </row>
    <row r="16" spans="1:13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6">
        <v>9543</v>
      </c>
      <c r="G16" s="8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6">
        <v>10468</v>
      </c>
      <c r="G17" s="8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6">
        <v>6267</v>
      </c>
      <c r="G18" s="8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6">
        <v>2365</v>
      </c>
      <c r="G19" s="8">
        <v>9380</v>
      </c>
    </row>
  </sheetData>
  <conditionalFormatting sqref="B2:G19">
    <cfRule type="cellIs" dxfId="0" priority="1" operator="greaterThan">
      <formula>4000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CF4C-245F-4DAD-B718-60A0540C3B45}">
  <dimension ref="A1:M19"/>
  <sheetViews>
    <sheetView zoomScale="101" workbookViewId="0">
      <selection activeCell="D2" sqref="D2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2.109375" customWidth="1"/>
    <col min="4" max="4" width="12" customWidth="1"/>
    <col min="5" max="5" width="10.44140625" customWidth="1"/>
    <col min="6" max="6" width="12.77734375" style="6" customWidth="1"/>
    <col min="7" max="7" width="15.6640625" style="8" customWidth="1"/>
    <col min="10" max="10" width="36.44140625" bestFit="1" customWidth="1"/>
  </cols>
  <sheetData>
    <row r="1" spans="1:13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7" t="s">
        <v>6</v>
      </c>
      <c r="M1" s="3"/>
    </row>
    <row r="2" spans="1:13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6">
        <v>8237</v>
      </c>
      <c r="G2" s="8">
        <v>8690</v>
      </c>
    </row>
    <row r="3" spans="1:13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6">
        <v>10185</v>
      </c>
      <c r="G3" s="8">
        <v>18749</v>
      </c>
      <c r="J3" s="2" t="s">
        <v>25</v>
      </c>
    </row>
    <row r="4" spans="1:13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6">
        <v>13452</v>
      </c>
      <c r="G4" s="8">
        <v>8046</v>
      </c>
    </row>
    <row r="5" spans="1:13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6">
        <v>4404</v>
      </c>
      <c r="G5" s="8">
        <v>20114</v>
      </c>
    </row>
    <row r="6" spans="1:13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6">
        <v>3170</v>
      </c>
      <c r="G6" s="8">
        <v>10733</v>
      </c>
    </row>
    <row r="7" spans="1:13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6">
        <v>8817</v>
      </c>
      <c r="G7" s="8">
        <v>18524</v>
      </c>
    </row>
    <row r="8" spans="1:13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6">
        <v>13090</v>
      </c>
      <c r="G8" s="8">
        <v>13953</v>
      </c>
      <c r="J8" t="s">
        <v>26</v>
      </c>
    </row>
    <row r="9" spans="1:13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6">
        <v>3528</v>
      </c>
      <c r="G9" s="8">
        <v>15275</v>
      </c>
      <c r="J9" t="s">
        <v>26</v>
      </c>
    </row>
    <row r="10" spans="1:13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6">
        <v>4839</v>
      </c>
      <c r="G10" s="8">
        <v>13085</v>
      </c>
    </row>
    <row r="11" spans="1:13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6">
        <v>9642</v>
      </c>
      <c r="G11" s="8">
        <v>13714</v>
      </c>
    </row>
    <row r="12" spans="1:13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6">
        <v>5850</v>
      </c>
      <c r="G12" s="8">
        <v>15065</v>
      </c>
    </row>
    <row r="13" spans="1:13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6">
        <v>10024</v>
      </c>
      <c r="G13" s="8">
        <v>18389</v>
      </c>
    </row>
    <row r="14" spans="1:13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6">
        <v>5503</v>
      </c>
      <c r="G14" s="8">
        <v>10686</v>
      </c>
    </row>
    <row r="15" spans="1:13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6">
        <v>13547</v>
      </c>
      <c r="G15" s="8">
        <v>21983</v>
      </c>
    </row>
    <row r="16" spans="1:13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6">
        <v>9543</v>
      </c>
      <c r="G16" s="8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6">
        <v>10468</v>
      </c>
      <c r="G17" s="8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6">
        <v>6267</v>
      </c>
      <c r="G18" s="8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6">
        <v>2365</v>
      </c>
      <c r="G19" s="8">
        <v>9380</v>
      </c>
    </row>
  </sheetData>
  <conditionalFormatting sqref="G2:G19">
    <cfRule type="iconSet" priority="2">
      <iconSet iconSet="3Arrows">
        <cfvo type="percent" val="0"/>
        <cfvo type="num" val="10000"/>
        <cfvo type="num" val="15000"/>
      </iconSet>
    </cfRule>
  </conditionalFormatting>
  <conditionalFormatting sqref="J17">
    <cfRule type="aboveAverage" priority="1"/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AB293E8-20FB-45D9-BAF1-8C4136D70B5C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14:cfRule type="iconSet" priority="4" id="{80C3D47F-0B2F-4248-B70A-5CED0D98105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B2:B19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C8E8-51F9-464C-9CDD-C73B8B51018B}">
  <dimension ref="A1:M19"/>
  <sheetViews>
    <sheetView zoomScale="101" workbookViewId="0">
      <selection activeCell="J10" sqref="J10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2.109375" customWidth="1"/>
    <col min="4" max="4" width="12" customWidth="1"/>
    <col min="5" max="5" width="10.44140625" customWidth="1"/>
    <col min="6" max="6" width="12.77734375" style="6" customWidth="1"/>
    <col min="7" max="7" width="15.6640625" style="8" customWidth="1"/>
    <col min="10" max="10" width="36.44140625" bestFit="1" customWidth="1"/>
  </cols>
  <sheetData>
    <row r="1" spans="1:13" x14ac:dyDescent="0.3">
      <c r="A1" s="1" t="s">
        <v>0</v>
      </c>
      <c r="B1" s="11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7" t="s">
        <v>6</v>
      </c>
      <c r="M1" s="3"/>
    </row>
    <row r="2" spans="1:13" x14ac:dyDescent="0.3">
      <c r="A2" t="s">
        <v>7</v>
      </c>
      <c r="B2" s="10">
        <v>3799</v>
      </c>
      <c r="C2" s="3">
        <v>557</v>
      </c>
      <c r="D2" s="3">
        <v>3863</v>
      </c>
      <c r="E2" s="3">
        <v>1117</v>
      </c>
      <c r="F2" s="6">
        <v>8237</v>
      </c>
      <c r="G2" s="8">
        <v>8690</v>
      </c>
    </row>
    <row r="3" spans="1:13" x14ac:dyDescent="0.3">
      <c r="A3" t="s">
        <v>8</v>
      </c>
      <c r="B3" s="10">
        <v>18930</v>
      </c>
      <c r="C3" s="3">
        <v>1042</v>
      </c>
      <c r="D3" s="3">
        <v>9355</v>
      </c>
      <c r="E3" s="3">
        <v>1100</v>
      </c>
      <c r="F3" s="6">
        <v>10185</v>
      </c>
      <c r="G3" s="8">
        <v>18749</v>
      </c>
      <c r="J3" s="2" t="s">
        <v>25</v>
      </c>
    </row>
    <row r="4" spans="1:13" x14ac:dyDescent="0.3">
      <c r="A4" t="s">
        <v>9</v>
      </c>
      <c r="B4" s="10">
        <v>5725</v>
      </c>
      <c r="C4" s="3">
        <v>3072</v>
      </c>
      <c r="D4" s="3">
        <v>6702</v>
      </c>
      <c r="E4" s="3">
        <v>2116</v>
      </c>
      <c r="F4" s="6">
        <v>13452</v>
      </c>
      <c r="G4" s="8">
        <v>8046</v>
      </c>
    </row>
    <row r="5" spans="1:13" x14ac:dyDescent="0.3">
      <c r="A5" t="s">
        <v>10</v>
      </c>
      <c r="B5" s="10">
        <v>1344</v>
      </c>
      <c r="C5" s="3">
        <v>3755</v>
      </c>
      <c r="D5" s="3">
        <v>4415</v>
      </c>
      <c r="E5" s="3">
        <v>1089</v>
      </c>
      <c r="F5" s="6">
        <v>4404</v>
      </c>
      <c r="G5" s="8">
        <v>20114</v>
      </c>
    </row>
    <row r="6" spans="1:13" x14ac:dyDescent="0.3">
      <c r="A6" t="s">
        <v>11</v>
      </c>
      <c r="B6" s="10">
        <v>8296</v>
      </c>
      <c r="C6" s="3">
        <v>3152</v>
      </c>
      <c r="D6" s="3">
        <v>11601</v>
      </c>
      <c r="E6" s="3">
        <v>1122</v>
      </c>
      <c r="F6" s="6">
        <v>3170</v>
      </c>
      <c r="G6" s="8">
        <v>10733</v>
      </c>
      <c r="J6" s="9"/>
    </row>
    <row r="7" spans="1:13" x14ac:dyDescent="0.3">
      <c r="A7" t="s">
        <v>12</v>
      </c>
      <c r="B7" s="10">
        <v>3945</v>
      </c>
      <c r="C7" s="3">
        <v>4056</v>
      </c>
      <c r="D7" s="3">
        <v>3726</v>
      </c>
      <c r="E7" s="3">
        <v>1135</v>
      </c>
      <c r="F7" s="6">
        <v>8817</v>
      </c>
      <c r="G7" s="8">
        <v>18524</v>
      </c>
    </row>
    <row r="8" spans="1:13" x14ac:dyDescent="0.3">
      <c r="A8" t="s">
        <v>13</v>
      </c>
      <c r="B8" s="10">
        <v>8337</v>
      </c>
      <c r="C8" s="3">
        <v>4906</v>
      </c>
      <c r="D8" s="3">
        <v>9007</v>
      </c>
      <c r="E8" s="3">
        <v>2113</v>
      </c>
      <c r="F8" s="6">
        <v>13090</v>
      </c>
      <c r="G8" s="8">
        <v>13953</v>
      </c>
    </row>
    <row r="9" spans="1:13" x14ac:dyDescent="0.3">
      <c r="A9" t="s">
        <v>14</v>
      </c>
      <c r="B9" s="10">
        <v>3742</v>
      </c>
      <c r="C9" s="3">
        <v>521</v>
      </c>
      <c r="D9" s="3">
        <v>4505</v>
      </c>
      <c r="E9" s="3">
        <v>1024</v>
      </c>
      <c r="F9" s="6">
        <v>3528</v>
      </c>
      <c r="G9" s="8">
        <v>15275</v>
      </c>
    </row>
    <row r="10" spans="1:13" x14ac:dyDescent="0.3">
      <c r="A10" t="s">
        <v>15</v>
      </c>
      <c r="B10" s="10">
        <v>7605</v>
      </c>
      <c r="C10" s="3">
        <v>3428</v>
      </c>
      <c r="D10" s="3">
        <v>3973</v>
      </c>
      <c r="E10" s="3">
        <v>1716</v>
      </c>
      <c r="F10" s="6">
        <v>4839</v>
      </c>
      <c r="G10" s="8">
        <v>13085</v>
      </c>
    </row>
    <row r="11" spans="1:13" x14ac:dyDescent="0.3">
      <c r="A11" t="s">
        <v>16</v>
      </c>
      <c r="B11" s="10">
        <v>5304</v>
      </c>
      <c r="C11" s="3">
        <v>1562</v>
      </c>
      <c r="D11" s="3">
        <v>2945</v>
      </c>
      <c r="E11" s="3">
        <v>1176</v>
      </c>
      <c r="F11" s="6">
        <v>9642</v>
      </c>
      <c r="G11" s="8">
        <v>13714</v>
      </c>
    </row>
    <row r="12" spans="1:13" x14ac:dyDescent="0.3">
      <c r="A12" t="s">
        <v>17</v>
      </c>
      <c r="B12" s="10">
        <v>9333</v>
      </c>
      <c r="C12" s="3">
        <v>2779</v>
      </c>
      <c r="D12" s="3">
        <v>7549</v>
      </c>
      <c r="E12" s="3">
        <v>1101</v>
      </c>
      <c r="F12" s="6">
        <v>5850</v>
      </c>
      <c r="G12" s="8">
        <v>15065</v>
      </c>
    </row>
    <row r="13" spans="1:13" x14ac:dyDescent="0.3">
      <c r="A13" t="s">
        <v>18</v>
      </c>
      <c r="B13" s="10">
        <v>1103</v>
      </c>
      <c r="C13" s="3">
        <v>3470</v>
      </c>
      <c r="D13" s="3">
        <v>3862</v>
      </c>
      <c r="E13" s="3">
        <v>1040</v>
      </c>
      <c r="F13" s="6">
        <v>10024</v>
      </c>
      <c r="G13" s="8">
        <v>18389</v>
      </c>
    </row>
    <row r="14" spans="1:13" x14ac:dyDescent="0.3">
      <c r="A14" t="s">
        <v>19</v>
      </c>
      <c r="B14" s="10">
        <v>1333</v>
      </c>
      <c r="C14" s="3">
        <v>1913</v>
      </c>
      <c r="D14" s="3">
        <v>4596</v>
      </c>
      <c r="E14" s="3">
        <v>1126</v>
      </c>
      <c r="F14" s="6">
        <v>5503</v>
      </c>
      <c r="G14" s="8">
        <v>10686</v>
      </c>
    </row>
    <row r="15" spans="1:13" x14ac:dyDescent="0.3">
      <c r="A15" t="s">
        <v>20</v>
      </c>
      <c r="B15" s="10">
        <v>12398</v>
      </c>
      <c r="C15" s="3">
        <v>2883</v>
      </c>
      <c r="D15" s="3">
        <v>2142</v>
      </c>
      <c r="E15" s="3">
        <v>2014</v>
      </c>
      <c r="F15" s="6">
        <v>13547</v>
      </c>
      <c r="G15" s="8">
        <v>21983</v>
      </c>
    </row>
    <row r="16" spans="1:13" x14ac:dyDescent="0.3">
      <c r="A16" t="s">
        <v>21</v>
      </c>
      <c r="B16" s="10">
        <v>3251</v>
      </c>
      <c r="C16" s="3">
        <v>4931</v>
      </c>
      <c r="D16" s="3">
        <v>8283</v>
      </c>
      <c r="E16" s="3">
        <v>1054</v>
      </c>
      <c r="F16" s="6">
        <v>9543</v>
      </c>
      <c r="G16" s="8">
        <v>11967</v>
      </c>
    </row>
    <row r="17" spans="1:7" x14ac:dyDescent="0.3">
      <c r="A17" t="s">
        <v>22</v>
      </c>
      <c r="B17" s="10">
        <v>4624</v>
      </c>
      <c r="C17" s="3">
        <v>4798</v>
      </c>
      <c r="D17" s="3">
        <v>8420</v>
      </c>
      <c r="E17" s="3">
        <v>1389</v>
      </c>
      <c r="F17" s="6">
        <v>10468</v>
      </c>
      <c r="G17" s="8">
        <v>12677</v>
      </c>
    </row>
    <row r="18" spans="1:7" x14ac:dyDescent="0.3">
      <c r="A18" t="s">
        <v>23</v>
      </c>
      <c r="B18" s="10">
        <v>2552</v>
      </c>
      <c r="C18" s="3">
        <v>4459</v>
      </c>
      <c r="D18" s="3">
        <v>2248</v>
      </c>
      <c r="E18" s="3">
        <v>1058</v>
      </c>
      <c r="F18" s="6">
        <v>6267</v>
      </c>
      <c r="G18" s="8">
        <v>14982</v>
      </c>
    </row>
    <row r="19" spans="1:7" x14ac:dyDescent="0.3">
      <c r="A19" t="s">
        <v>24</v>
      </c>
      <c r="B19" s="10">
        <v>4281</v>
      </c>
      <c r="C19" s="3">
        <v>4172</v>
      </c>
      <c r="D19" s="3">
        <v>11074</v>
      </c>
      <c r="E19" s="3">
        <v>1282</v>
      </c>
      <c r="F19" s="6">
        <v>2365</v>
      </c>
      <c r="G19" s="8">
        <v>9380</v>
      </c>
    </row>
  </sheetData>
  <conditionalFormatting sqref="B2:B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{784873E7-D3F1-4278-A051-7086F95E30AE}</x14:id>
        </ext>
      </extLst>
    </cfRule>
  </conditionalFormatting>
  <conditionalFormatting sqref="C1:C1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{4C41C46F-AFB4-4795-94C4-56660834B3A5}</x14:id>
        </ext>
      </extLst>
    </cfRule>
  </conditionalFormatting>
  <conditionalFormatting sqref="D1:D1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{CF404BF0-EFB2-4794-8CBB-EF6C3B86F6D2}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4873E7-D3F1-4278-A051-7086F95E3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4C41C46F-AFB4-4795-94C4-56660834B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C1:C19</xm:sqref>
        </x14:conditionalFormatting>
        <x14:conditionalFormatting xmlns:xm="http://schemas.microsoft.com/office/excel/2006/main">
          <x14:cfRule type="dataBar" id="{CF404BF0-EFB2-4794-8CBB-EF6C3B8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17C7-C24D-41E9-9C65-47BFF8FC3D23}">
  <dimension ref="B2:H34"/>
  <sheetViews>
    <sheetView workbookViewId="0">
      <selection activeCell="D7" sqref="D7"/>
    </sheetView>
  </sheetViews>
  <sheetFormatPr defaultRowHeight="14.4" x14ac:dyDescent="0.3"/>
  <cols>
    <col min="4" max="4" width="17.77734375" customWidth="1"/>
    <col min="5" max="5" width="17.33203125" customWidth="1"/>
    <col min="7" max="8" width="16.5546875" customWidth="1"/>
  </cols>
  <sheetData>
    <row r="2" spans="2:7" x14ac:dyDescent="0.3">
      <c r="B2" s="12" t="s">
        <v>27</v>
      </c>
      <c r="C2" s="12" t="s">
        <v>28</v>
      </c>
      <c r="D2" s="12" t="s">
        <v>29</v>
      </c>
      <c r="F2" s="13" t="s">
        <v>36</v>
      </c>
      <c r="G2" s="13" t="s">
        <v>37</v>
      </c>
    </row>
    <row r="3" spans="2:7" x14ac:dyDescent="0.3">
      <c r="B3" s="13" t="s">
        <v>30</v>
      </c>
      <c r="C3" s="13">
        <v>98</v>
      </c>
      <c r="D3" s="13" t="str">
        <f>IF(C3&gt;90,"A++",IF(C3&gt;75,"A+",IF(C3&gt;60,"A",IF(C3&gt;40,"B","Fail"))))</f>
        <v>A++</v>
      </c>
      <c r="F3" s="14">
        <v>90</v>
      </c>
      <c r="G3" s="13" t="s">
        <v>38</v>
      </c>
    </row>
    <row r="4" spans="2:7" x14ac:dyDescent="0.3">
      <c r="B4" s="13" t="s">
        <v>34</v>
      </c>
      <c r="C4" s="13">
        <v>63</v>
      </c>
      <c r="D4" s="13" t="str">
        <f>IF(C4&gt;90,"A++",IF(C4&gt;75,"A+",IF(C4&gt;60,"A",IF(C4&gt;40,"B","Fail"))))</f>
        <v>A</v>
      </c>
      <c r="F4" s="14">
        <v>75</v>
      </c>
      <c r="G4" s="13" t="s">
        <v>39</v>
      </c>
    </row>
    <row r="5" spans="2:7" x14ac:dyDescent="0.3">
      <c r="B5" s="13" t="s">
        <v>31</v>
      </c>
      <c r="C5" s="13">
        <v>32</v>
      </c>
      <c r="D5" s="13" t="str">
        <f>IF(C5&gt;90,"A++",IF(C5&gt;75,"A+",IF(C5&gt;60,"A",IF(C5&gt;40,"B","Fail"))))</f>
        <v>Fail</v>
      </c>
      <c r="F5" s="14">
        <v>60</v>
      </c>
      <c r="G5" s="13" t="s">
        <v>40</v>
      </c>
    </row>
    <row r="6" spans="2:7" x14ac:dyDescent="0.3">
      <c r="B6" s="13" t="s">
        <v>32</v>
      </c>
      <c r="C6" s="13">
        <v>44</v>
      </c>
      <c r="D6" s="13" t="str">
        <f t="shared" ref="D4:D6" si="0">IF(C6&gt;90,"A++",IF(C6&gt;75,"A+",IF(C6&gt;60,"A",IF(C6&gt;40,"B","Fail"))))</f>
        <v>B</v>
      </c>
      <c r="F6" s="14">
        <v>40</v>
      </c>
      <c r="G6" s="13" t="s">
        <v>41</v>
      </c>
    </row>
    <row r="7" spans="2:7" x14ac:dyDescent="0.3">
      <c r="B7" s="13" t="s">
        <v>33</v>
      </c>
      <c r="C7" s="13">
        <v>55</v>
      </c>
      <c r="D7" s="13" t="str">
        <f>IF(C7&gt;90,"A++",IF(C7&gt;75,"A+",IF(C7&gt;60,"A",IF(C7&gt;40,"B","Fail"))))</f>
        <v>B</v>
      </c>
      <c r="F7" s="13" t="s">
        <v>35</v>
      </c>
      <c r="G7" s="13" t="s">
        <v>42</v>
      </c>
    </row>
    <row r="10" spans="2:7" x14ac:dyDescent="0.3">
      <c r="B10" s="12" t="s">
        <v>27</v>
      </c>
      <c r="C10" s="12" t="s">
        <v>28</v>
      </c>
      <c r="D10" s="12" t="s">
        <v>29</v>
      </c>
    </row>
    <row r="11" spans="2:7" x14ac:dyDescent="0.3">
      <c r="B11" s="13" t="s">
        <v>30</v>
      </c>
      <c r="C11" s="13">
        <v>98</v>
      </c>
      <c r="D11" s="13" t="str">
        <f>IF(C11&gt;$F$3,"A++",IF(C11&gt;$F$4,"A+",IF(C11&gt;$F$5,"A",IF(C11&gt;$F$6,"B","Fail"))))</f>
        <v>A++</v>
      </c>
    </row>
    <row r="12" spans="2:7" x14ac:dyDescent="0.3">
      <c r="B12" s="13" t="s">
        <v>34</v>
      </c>
      <c r="C12" s="13">
        <v>63</v>
      </c>
      <c r="D12" s="13" t="str">
        <f>IF(C12&gt;$F$3,"A++",IF(C12&gt;$F$4,"A+",IF(C12&gt;$F$5,"A",IF(C12&gt;$F$6,"B","Fail"))))</f>
        <v>A</v>
      </c>
    </row>
    <row r="13" spans="2:7" x14ac:dyDescent="0.3">
      <c r="B13" s="13" t="s">
        <v>31</v>
      </c>
      <c r="C13" s="13">
        <v>32</v>
      </c>
      <c r="D13" s="13" t="str">
        <f>IF(C13&gt;$F$3,"A++",IF(C13&gt;$F$4,"A+",IF(C13&gt;$F$5,"A",IF(C13&gt;$F$6,"B","Fail"))))</f>
        <v>Fail</v>
      </c>
    </row>
    <row r="14" spans="2:7" x14ac:dyDescent="0.3">
      <c r="B14" s="13" t="s">
        <v>32</v>
      </c>
      <c r="C14" s="13">
        <v>44</v>
      </c>
      <c r="D14" s="13" t="str">
        <f>IF(C14&gt;$F$3,"A++",IF(C14&gt;$F$4,"A+",IF(C14&gt;$F$5,"A",IF(C14&gt;$F$6,"B","Fail"))))</f>
        <v>B</v>
      </c>
    </row>
    <row r="15" spans="2:7" x14ac:dyDescent="0.3">
      <c r="B15" s="13" t="s">
        <v>33</v>
      </c>
      <c r="C15" s="13">
        <v>55</v>
      </c>
      <c r="D15" s="13" t="str">
        <f>IF(C15&gt;$F$3,"A++",IF(C15&gt;$F$4,"A+",IF(C15&gt;$F$5,"A",IF(C15&gt;$F$6,"B","Fail"))))</f>
        <v>B</v>
      </c>
    </row>
    <row r="19" spans="2:8" x14ac:dyDescent="0.3">
      <c r="B19" s="12" t="s">
        <v>27</v>
      </c>
      <c r="C19" s="12" t="s">
        <v>48</v>
      </c>
      <c r="D19" s="12" t="s">
        <v>43</v>
      </c>
      <c r="E19" s="12" t="s">
        <v>44</v>
      </c>
      <c r="G19" s="15" t="s">
        <v>45</v>
      </c>
      <c r="H19" s="15" t="s">
        <v>43</v>
      </c>
    </row>
    <row r="20" spans="2:8" x14ac:dyDescent="0.3">
      <c r="B20" s="13" t="s">
        <v>30</v>
      </c>
      <c r="C20" s="13">
        <v>78000</v>
      </c>
      <c r="D20" s="13" t="str">
        <f>IF(C20&gt;75000,"15%",IF(C19&gt;70000,"10%",IF(C20&gt;50000,"5%",IF(C20&lt;50000,"No Bonus"))))</f>
        <v>15%</v>
      </c>
      <c r="E20" s="13">
        <f>C20*D20</f>
        <v>11700</v>
      </c>
      <c r="G20" s="15">
        <v>75000</v>
      </c>
      <c r="H20" s="16">
        <v>0.15</v>
      </c>
    </row>
    <row r="21" spans="2:8" x14ac:dyDescent="0.3">
      <c r="B21" s="13" t="s">
        <v>34</v>
      </c>
      <c r="C21" s="13">
        <v>50000</v>
      </c>
      <c r="D21" s="13" t="str">
        <f t="shared" ref="D21:D24" si="1">IF(C21&gt;75000,"15%",IF(C20&gt;70000,"10%",IF(C21&gt;50000,"5%",IF(C21&lt;50000,"No Bonus"))))</f>
        <v>10%</v>
      </c>
      <c r="E21" s="13">
        <f t="shared" ref="E21:E24" si="2">C21*D21</f>
        <v>5000</v>
      </c>
      <c r="G21" s="15">
        <v>70000</v>
      </c>
      <c r="H21" s="16">
        <v>0.1</v>
      </c>
    </row>
    <row r="22" spans="2:8" x14ac:dyDescent="0.3">
      <c r="B22" s="13" t="s">
        <v>31</v>
      </c>
      <c r="C22" s="13">
        <v>45000</v>
      </c>
      <c r="D22" s="13" t="str">
        <f>IF(C22&gt;75000,"15%",IF(C21&gt;70000,"10%",IF(C22&gt;50000,"5%",IF(C22&lt;50000,"No Bonus"))))</f>
        <v>No Bonus</v>
      </c>
      <c r="E22" s="13" t="e">
        <f t="shared" si="2"/>
        <v>#VALUE!</v>
      </c>
      <c r="G22" s="15">
        <v>50000</v>
      </c>
      <c r="H22" s="16">
        <v>0.05</v>
      </c>
    </row>
    <row r="23" spans="2:8" x14ac:dyDescent="0.3">
      <c r="B23" s="13" t="s">
        <v>32</v>
      </c>
      <c r="C23" s="13">
        <v>75000</v>
      </c>
      <c r="D23" s="13" t="str">
        <f t="shared" si="1"/>
        <v>5%</v>
      </c>
      <c r="E23" s="13">
        <f t="shared" si="2"/>
        <v>3750</v>
      </c>
      <c r="G23" s="15" t="s">
        <v>46</v>
      </c>
      <c r="H23" s="15" t="s">
        <v>47</v>
      </c>
    </row>
    <row r="24" spans="2:8" x14ac:dyDescent="0.3">
      <c r="B24" s="13" t="s">
        <v>33</v>
      </c>
      <c r="C24" s="13">
        <v>55000</v>
      </c>
      <c r="D24" s="13" t="str">
        <f t="shared" si="1"/>
        <v>10%</v>
      </c>
      <c r="E24" s="13">
        <f t="shared" si="2"/>
        <v>5500</v>
      </c>
    </row>
    <row r="28" spans="2:8" x14ac:dyDescent="0.3">
      <c r="B28" s="18" t="s">
        <v>52</v>
      </c>
      <c r="C28" s="19"/>
      <c r="D28" s="20"/>
    </row>
    <row r="29" spans="2:8" x14ac:dyDescent="0.3">
      <c r="B29" s="12" t="s">
        <v>49</v>
      </c>
      <c r="C29" s="12" t="s">
        <v>50</v>
      </c>
      <c r="D29" s="17" t="s">
        <v>51</v>
      </c>
    </row>
    <row r="30" spans="2:8" x14ac:dyDescent="0.3">
      <c r="B30" s="13">
        <v>30</v>
      </c>
      <c r="C30" s="13">
        <v>6</v>
      </c>
      <c r="D30" s="13">
        <f>IFERROR(B30/C30,"Cannot Divide")</f>
        <v>5</v>
      </c>
    </row>
    <row r="31" spans="2:8" x14ac:dyDescent="0.3">
      <c r="B31" s="13">
        <v>54</v>
      </c>
      <c r="C31" s="13">
        <v>5</v>
      </c>
      <c r="D31" s="13">
        <f t="shared" ref="D31:D34" si="3">IFERROR(B31/C31,"Cannot Divide")</f>
        <v>10.8</v>
      </c>
    </row>
    <row r="32" spans="2:8" x14ac:dyDescent="0.3">
      <c r="B32" s="13">
        <v>24</v>
      </c>
      <c r="C32" s="13">
        <v>0</v>
      </c>
      <c r="D32" s="15" t="str">
        <f t="shared" si="3"/>
        <v>Cannot Divide</v>
      </c>
    </row>
    <row r="33" spans="2:4" x14ac:dyDescent="0.3">
      <c r="B33" s="13">
        <v>66</v>
      </c>
      <c r="C33" s="13">
        <v>8</v>
      </c>
      <c r="D33" s="13">
        <f t="shared" si="3"/>
        <v>8.25</v>
      </c>
    </row>
    <row r="34" spans="2:4" x14ac:dyDescent="0.3">
      <c r="B34" s="13">
        <v>97</v>
      </c>
      <c r="C34" s="13">
        <v>9</v>
      </c>
      <c r="D34" s="13">
        <f t="shared" si="3"/>
        <v>10.777777777777779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Nested 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Thorat</cp:lastModifiedBy>
  <dcterms:created xsi:type="dcterms:W3CDTF">2026-07-02T09:08:49Z</dcterms:created>
  <dcterms:modified xsi:type="dcterms:W3CDTF">2026-07-04T10:24:54Z</dcterms:modified>
</cp:coreProperties>
</file>