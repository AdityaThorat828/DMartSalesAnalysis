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707D05E1-D72B-4CCF-8F68-EFC3F8A72889}" xr6:coauthVersionLast="47" xr6:coauthVersionMax="47" xr10:uidLastSave="{00000000-0000-0000-0000-000000000000}"/>
  <bookViews>
    <workbookView xWindow="-108" yWindow="-108" windowWidth="23256" windowHeight="13176" xr2:uid="{EB93B2D3-E78D-49C2-90BE-411F6622E5CE}"/>
  </bookViews>
  <sheets>
    <sheet name="DataConsolidation" sheetId="1" r:id="rId1"/>
    <sheet name="North" sheetId="2" r:id="rId2"/>
    <sheet name="South" sheetId="3" r:id="rId3"/>
    <sheet name="East" sheetId="4" r:id="rId4"/>
    <sheet name="We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C70" i="1"/>
  <c r="D70" i="1"/>
  <c r="E70" i="1"/>
  <c r="F70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</calcChain>
</file>

<file path=xl/sharedStrings.xml><?xml version="1.0" encoding="utf-8"?>
<sst xmlns="http://schemas.openxmlformats.org/spreadsheetml/2006/main" count="150" uniqueCount="19">
  <si>
    <t>Month/Product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</si>
  <si>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</si>
  <si>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</si>
  <si>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</si>
  <si>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</si>
  <si>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</si>
  <si>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</si>
  <si>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</si>
  <si>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</si>
  <si>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</si>
  <si>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</si>
  <si>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</si>
  <si>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</si>
  <si>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- A</t>
  </si>
  <si>
    <t>Product - B</t>
  </si>
  <si>
    <t>Product - C</t>
  </si>
  <si>
    <t>Product - D</t>
  </si>
  <si>
    <t>CTRL-F</t>
  </si>
  <si>
    <t>Data Consolidation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</si>
</sst>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63A4F7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2" fillId="0" borderId="2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672C-7946-4833-9867-451F5CB6CB34}">
  <dimension ref="A1:P78"/>
  <sheetViews>
    <sheetView tabSelected="1" zoomScale="82" zoomScaleNormal="82" workbookViewId="0">
      <selection activeCell="J48" sqref="J48"/>
    </sheetView>
  </sheetViews>
  <sheetFormatPr defaultRowHeight="14.4" outlineLevelRow="1" x14ac:dyDescent="0.3"/>
  <cols>
    <col min="1" max="1" width="2.21875" customWidth="1"/>
    <col min="2" max="2" width="11.21875" customWidth="1"/>
    <col min="3" max="3" width="10" bestFit="1" customWidth="1"/>
    <col min="4" max="5" width="9.88671875" bestFit="1" customWidth="1"/>
    <col min="6" max="6" width="10.109375" bestFit="1" customWidth="1"/>
  </cols>
  <sheetData>
    <row r="1" spans="1:16" x14ac:dyDescent="0.3">
      <c r="A1" s="5" t="s">
        <v>0</v>
      </c>
      <c r="B1" s="5"/>
      <c r="C1" s="5" t="s">
        <v>13</v>
      </c>
      <c r="D1" s="5" t="s">
        <v>14</v>
      </c>
      <c r="E1" s="5" t="s">
        <v>15</v>
      </c>
      <c r="F1" s="5" t="s">
        <v>16</v>
      </c>
    </row>
    <row r="2" spans="1:16" x14ac:dyDescent="0.3">
      <c r="A2" s="4" t="s">
        <v>1</v>
      </c>
      <c r="B2" s="4"/>
      <c r="C2" s="3">
        <v>6251</v>
      </c>
      <c r="D2" s="4">
        <v>6238</v>
      </c>
      <c r="E2" s="4">
        <v>6477</v>
      </c>
      <c r="F2" s="4">
        <v>6808</v>
      </c>
    </row>
    <row r="3" spans="1:16" x14ac:dyDescent="0.3">
      <c r="A3" s="4" t="s">
        <v>2</v>
      </c>
      <c r="B3" s="4"/>
      <c r="C3" s="4">
        <v>5468</v>
      </c>
      <c r="D3" s="4">
        <v>7024</v>
      </c>
      <c r="E3" s="4">
        <v>6456</v>
      </c>
      <c r="F3" s="4">
        <v>6363</v>
      </c>
    </row>
    <row r="4" spans="1:16" x14ac:dyDescent="0.3">
      <c r="A4" s="4" t="s">
        <v>3</v>
      </c>
      <c r="B4" s="4"/>
      <c r="C4" s="4">
        <v>6898</v>
      </c>
      <c r="D4" s="4">
        <v>5463</v>
      </c>
      <c r="E4" s="4">
        <v>6209</v>
      </c>
      <c r="F4" s="4">
        <v>6875</v>
      </c>
      <c r="P4" t="s">
        <v>17</v>
      </c>
    </row>
    <row r="5" spans="1:16" x14ac:dyDescent="0.3">
      <c r="A5" s="4" t="s">
        <v>4</v>
      </c>
      <c r="B5" s="4"/>
      <c r="C5" s="4">
        <v>7111</v>
      </c>
      <c r="D5" s="4">
        <v>5903</v>
      </c>
      <c r="E5" s="4">
        <v>6198</v>
      </c>
      <c r="F5" s="4">
        <v>5961</v>
      </c>
    </row>
    <row r="6" spans="1:16" x14ac:dyDescent="0.3">
      <c r="A6" s="4" t="s">
        <v>5</v>
      </c>
      <c r="B6" s="4"/>
      <c r="C6" s="4">
        <v>6024</v>
      </c>
      <c r="D6" s="4">
        <v>6672</v>
      </c>
      <c r="E6" s="4">
        <v>5553</v>
      </c>
      <c r="F6" s="4">
        <v>5939</v>
      </c>
    </row>
    <row r="7" spans="1:16" x14ac:dyDescent="0.3">
      <c r="A7" s="4" t="s">
        <v>6</v>
      </c>
      <c r="B7" s="4"/>
      <c r="C7" s="4">
        <v>5911</v>
      </c>
      <c r="D7" s="4">
        <v>5830</v>
      </c>
      <c r="E7" s="4">
        <v>4988</v>
      </c>
      <c r="F7" s="4">
        <v>5478</v>
      </c>
    </row>
    <row r="8" spans="1:16" x14ac:dyDescent="0.3">
      <c r="A8" s="4" t="s">
        <v>7</v>
      </c>
      <c r="B8" s="4"/>
      <c r="C8" s="4">
        <v>6232</v>
      </c>
      <c r="D8" s="4">
        <v>6210</v>
      </c>
      <c r="E8" s="4">
        <v>5908</v>
      </c>
      <c r="F8" s="4">
        <v>5188</v>
      </c>
    </row>
    <row r="9" spans="1:16" x14ac:dyDescent="0.3">
      <c r="A9" s="4" t="s">
        <v>8</v>
      </c>
      <c r="B9" s="4"/>
      <c r="C9" s="4">
        <v>5696</v>
      </c>
      <c r="D9" s="4">
        <v>6091</v>
      </c>
      <c r="E9" s="4">
        <v>5272</v>
      </c>
      <c r="F9" s="4">
        <v>6585</v>
      </c>
    </row>
    <row r="10" spans="1:16" x14ac:dyDescent="0.3">
      <c r="A10" s="4" t="s">
        <v>9</v>
      </c>
      <c r="B10" s="4"/>
      <c r="C10" s="4">
        <v>6670</v>
      </c>
      <c r="D10" s="4">
        <v>6242</v>
      </c>
      <c r="E10" s="4">
        <v>6340</v>
      </c>
      <c r="F10" s="4">
        <v>6671</v>
      </c>
    </row>
    <row r="11" spans="1:16" x14ac:dyDescent="0.3">
      <c r="A11" s="4" t="s">
        <v>10</v>
      </c>
      <c r="B11" s="4"/>
      <c r="C11" s="4">
        <v>5501</v>
      </c>
      <c r="D11" s="4">
        <v>6979</v>
      </c>
      <c r="E11" s="4">
        <v>5021</v>
      </c>
      <c r="F11" s="4">
        <v>5262</v>
      </c>
    </row>
    <row r="12" spans="1:16" x14ac:dyDescent="0.3">
      <c r="A12" s="4" t="s">
        <v>11</v>
      </c>
      <c r="B12" s="4"/>
      <c r="C12" s="4">
        <v>6213</v>
      </c>
      <c r="D12" s="4">
        <v>5533</v>
      </c>
      <c r="E12" s="4">
        <v>6092</v>
      </c>
      <c r="F12" s="4">
        <v>5450</v>
      </c>
    </row>
    <row r="13" spans="1:16" x14ac:dyDescent="0.3">
      <c r="A13" s="4" t="s">
        <v>12</v>
      </c>
      <c r="B13" s="4"/>
      <c r="C13" s="4">
        <v>6991</v>
      </c>
      <c r="D13" s="4">
        <v>6940</v>
      </c>
      <c r="E13" s="4">
        <v>5746</v>
      </c>
      <c r="F13" s="4">
        <v>5437</v>
      </c>
    </row>
    <row r="18" spans="1:6" x14ac:dyDescent="0.3">
      <c r="C18" t="s">
        <v>13</v>
      </c>
      <c r="D18" t="s">
        <v>14</v>
      </c>
      <c r="E18" t="s">
        <v>15</v>
      </c>
      <c r="F18" t="s">
        <v>16</v>
      </c>
    </row>
    <row r="19" spans="1:6" hidden="1" outlineLevel="1" x14ac:dyDescent="0.3">
      <c r="B19" t="s">
        <v>18</v>
      </c>
      <c r="C19">
        <f>East!$D$5</f>
        <v>1860</v>
      </c>
      <c r="D19">
        <f>East!$E$5</f>
        <v>1202</v>
      </c>
      <c r="E19">
        <f>East!$F$5</f>
        <v>1371</v>
      </c>
      <c r="F19">
        <f>East!$G$5</f>
        <v>1973</v>
      </c>
    </row>
    <row r="20" spans="1:6" hidden="1" outlineLevel="1" collapsed="1" x14ac:dyDescent="0.3">
      <c r="B20" t="s">
        <v>18</v>
      </c>
      <c r="C20">
        <f>North!$C$5</f>
        <v>1565</v>
      </c>
      <c r="D20">
        <f>North!$D$5</f>
        <v>1548</v>
      </c>
      <c r="E20">
        <f>North!$E$5</f>
        <v>1470</v>
      </c>
      <c r="F20">
        <f>North!$F$5</f>
        <v>1693</v>
      </c>
    </row>
    <row r="21" spans="1:6" hidden="1" outlineLevel="1" collapsed="1" x14ac:dyDescent="0.3">
      <c r="B21" t="s">
        <v>18</v>
      </c>
      <c r="C21">
        <f>South!$B$2</f>
        <v>1409</v>
      </c>
      <c r="D21">
        <f>South!$C$2</f>
        <v>1517</v>
      </c>
      <c r="E21">
        <f>South!$D$2</f>
        <v>1745</v>
      </c>
      <c r="F21">
        <f>South!$E$2</f>
        <v>1851</v>
      </c>
    </row>
    <row r="22" spans="1:6" hidden="1" outlineLevel="1" collapsed="1" x14ac:dyDescent="0.3">
      <c r="B22" t="s">
        <v>18</v>
      </c>
      <c r="C22">
        <f>West!$B$2</f>
        <v>1417</v>
      </c>
      <c r="D22">
        <f>West!$C$2</f>
        <v>1971</v>
      </c>
      <c r="E22">
        <f>West!$D$2</f>
        <v>1891</v>
      </c>
      <c r="F22">
        <f>West!$E$2</f>
        <v>1291</v>
      </c>
    </row>
    <row r="23" spans="1:6" collapsed="1" x14ac:dyDescent="0.3">
      <c r="A23" t="s">
        <v>1</v>
      </c>
      <c r="C23">
        <f>SUM(C19:C22)</f>
        <v>6251</v>
      </c>
      <c r="D23">
        <f>SUM(D19:D22)</f>
        <v>6238</v>
      </c>
      <c r="E23">
        <f>SUM(E19:E22)</f>
        <v>6477</v>
      </c>
      <c r="F23">
        <f>SUM(F19:F22)</f>
        <v>6808</v>
      </c>
    </row>
    <row r="24" spans="1:6" hidden="1" outlineLevel="1" x14ac:dyDescent="0.3">
      <c r="B24" t="s">
        <v>18</v>
      </c>
      <c r="C24">
        <f>East!$D$6</f>
        <v>1191</v>
      </c>
      <c r="D24">
        <f>East!$E$6</f>
        <v>1811</v>
      </c>
      <c r="E24">
        <f>East!$F$6</f>
        <v>1618</v>
      </c>
      <c r="F24">
        <f>East!$G$6</f>
        <v>1289</v>
      </c>
    </row>
    <row r="25" spans="1:6" hidden="1" outlineLevel="1" collapsed="1" x14ac:dyDescent="0.3">
      <c r="B25" t="s">
        <v>18</v>
      </c>
      <c r="C25">
        <f>North!$C$6</f>
        <v>1135</v>
      </c>
      <c r="D25">
        <f>North!$D$6</f>
        <v>1984</v>
      </c>
      <c r="E25">
        <f>North!$E$6</f>
        <v>1352</v>
      </c>
      <c r="F25">
        <f>North!$F$6</f>
        <v>1770</v>
      </c>
    </row>
    <row r="26" spans="1:6" hidden="1" outlineLevel="1" collapsed="1" x14ac:dyDescent="0.3">
      <c r="B26" t="s">
        <v>18</v>
      </c>
      <c r="C26">
        <f>South!$B$3</f>
        <v>1174</v>
      </c>
      <c r="D26">
        <f>South!$C$3</f>
        <v>1245</v>
      </c>
      <c r="E26">
        <f>South!$D$3</f>
        <v>1614</v>
      </c>
      <c r="F26">
        <f>South!$E$3</f>
        <v>1537</v>
      </c>
    </row>
    <row r="27" spans="1:6" hidden="1" outlineLevel="1" collapsed="1" x14ac:dyDescent="0.3">
      <c r="B27" t="s">
        <v>18</v>
      </c>
      <c r="C27">
        <f>West!$B$3</f>
        <v>1968</v>
      </c>
      <c r="D27">
        <f>West!$C$3</f>
        <v>1984</v>
      </c>
      <c r="E27">
        <f>West!$D$3</f>
        <v>1872</v>
      </c>
      <c r="F27">
        <f>West!$E$3</f>
        <v>1767</v>
      </c>
    </row>
    <row r="28" spans="1:6" collapsed="1" x14ac:dyDescent="0.3">
      <c r="A28" t="s">
        <v>2</v>
      </c>
      <c r="C28">
        <f>SUM(C24:C27)</f>
        <v>5468</v>
      </c>
      <c r="D28">
        <f>SUM(D24:D27)</f>
        <v>7024</v>
      </c>
      <c r="E28">
        <f>SUM(E24:E27)</f>
        <v>6456</v>
      </c>
      <c r="F28">
        <f>SUM(F24:F27)</f>
        <v>6363</v>
      </c>
    </row>
    <row r="29" spans="1:6" hidden="1" outlineLevel="1" x14ac:dyDescent="0.3">
      <c r="B29" t="s">
        <v>18</v>
      </c>
      <c r="C29">
        <f>East!$D$7</f>
        <v>1890</v>
      </c>
      <c r="D29">
        <f>East!$E$7</f>
        <v>1724</v>
      </c>
      <c r="E29">
        <f>East!$F$7</f>
        <v>1088</v>
      </c>
      <c r="F29">
        <f>East!$G$7</f>
        <v>1880</v>
      </c>
    </row>
    <row r="30" spans="1:6" hidden="1" outlineLevel="1" collapsed="1" x14ac:dyDescent="0.3">
      <c r="B30" t="s">
        <v>18</v>
      </c>
      <c r="C30">
        <f>North!$C$7</f>
        <v>1311</v>
      </c>
      <c r="D30">
        <f>North!$D$7</f>
        <v>1185</v>
      </c>
      <c r="E30">
        <f>North!$E$7</f>
        <v>1547</v>
      </c>
      <c r="F30">
        <f>North!$F$7</f>
        <v>1152</v>
      </c>
    </row>
    <row r="31" spans="1:6" hidden="1" outlineLevel="1" collapsed="1" x14ac:dyDescent="0.3">
      <c r="B31" t="s">
        <v>18</v>
      </c>
      <c r="C31">
        <f>South!$B$4</f>
        <v>1770</v>
      </c>
      <c r="D31">
        <f>South!$C$4</f>
        <v>1046</v>
      </c>
      <c r="E31">
        <f>South!$D$4</f>
        <v>1703</v>
      </c>
      <c r="F31">
        <f>South!$E$4</f>
        <v>1980</v>
      </c>
    </row>
    <row r="32" spans="1:6" hidden="1" outlineLevel="1" collapsed="1" x14ac:dyDescent="0.3">
      <c r="B32" t="s">
        <v>18</v>
      </c>
      <c r="C32">
        <f>West!$B$4</f>
        <v>1927</v>
      </c>
      <c r="D32">
        <f>West!$C$4</f>
        <v>1508</v>
      </c>
      <c r="E32">
        <f>West!$D$4</f>
        <v>1871</v>
      </c>
      <c r="F32">
        <f>West!$E$4</f>
        <v>1863</v>
      </c>
    </row>
    <row r="33" spans="1:6" collapsed="1" x14ac:dyDescent="0.3">
      <c r="A33" t="s">
        <v>3</v>
      </c>
      <c r="C33">
        <f>SUM(C29:C32)</f>
        <v>6898</v>
      </c>
      <c r="D33">
        <f>SUM(D29:D32)</f>
        <v>5463</v>
      </c>
      <c r="E33">
        <f>SUM(E29:E32)</f>
        <v>6209</v>
      </c>
      <c r="F33">
        <f>SUM(F29:F32)</f>
        <v>6875</v>
      </c>
    </row>
    <row r="34" spans="1:6" hidden="1" outlineLevel="1" x14ac:dyDescent="0.3">
      <c r="B34" t="s">
        <v>18</v>
      </c>
      <c r="C34">
        <f>East!$D$8</f>
        <v>1804</v>
      </c>
      <c r="D34">
        <f>East!$E$8</f>
        <v>1732</v>
      </c>
      <c r="E34">
        <f>East!$F$8</f>
        <v>1964</v>
      </c>
      <c r="F34">
        <f>East!$G$8</f>
        <v>1541</v>
      </c>
    </row>
    <row r="35" spans="1:6" hidden="1" outlineLevel="1" collapsed="1" x14ac:dyDescent="0.3">
      <c r="B35" t="s">
        <v>18</v>
      </c>
      <c r="C35">
        <f>North!$C$8</f>
        <v>1897</v>
      </c>
      <c r="D35">
        <f>North!$D$8</f>
        <v>1625</v>
      </c>
      <c r="E35">
        <f>North!$E$8</f>
        <v>1866</v>
      </c>
      <c r="F35">
        <f>North!$F$8</f>
        <v>1739</v>
      </c>
    </row>
    <row r="36" spans="1:6" hidden="1" outlineLevel="1" collapsed="1" x14ac:dyDescent="0.3">
      <c r="B36" t="s">
        <v>18</v>
      </c>
      <c r="C36">
        <f>South!$B$5</f>
        <v>1937</v>
      </c>
      <c r="D36">
        <f>South!$C$5</f>
        <v>1326</v>
      </c>
      <c r="E36">
        <f>South!$D$5</f>
        <v>1303</v>
      </c>
      <c r="F36">
        <f>South!$E$5</f>
        <v>1252</v>
      </c>
    </row>
    <row r="37" spans="1:6" hidden="1" outlineLevel="1" collapsed="1" x14ac:dyDescent="0.3">
      <c r="B37" t="s">
        <v>18</v>
      </c>
      <c r="C37">
        <f>West!$B$5</f>
        <v>1473</v>
      </c>
      <c r="D37">
        <f>West!$C$5</f>
        <v>1220</v>
      </c>
      <c r="E37">
        <f>West!$D$5</f>
        <v>1065</v>
      </c>
      <c r="F37">
        <f>West!$E$5</f>
        <v>1429</v>
      </c>
    </row>
    <row r="38" spans="1:6" collapsed="1" x14ac:dyDescent="0.3">
      <c r="A38" t="s">
        <v>4</v>
      </c>
      <c r="C38">
        <f>SUM(C34:C37)</f>
        <v>7111</v>
      </c>
      <c r="D38">
        <f>SUM(D34:D37)</f>
        <v>5903</v>
      </c>
      <c r="E38">
        <f>SUM(E34:E37)</f>
        <v>6198</v>
      </c>
      <c r="F38">
        <f>SUM(F34:F37)</f>
        <v>5961</v>
      </c>
    </row>
    <row r="39" spans="1:6" hidden="1" outlineLevel="1" x14ac:dyDescent="0.3">
      <c r="B39" t="s">
        <v>18</v>
      </c>
      <c r="C39">
        <f>East!$D$9</f>
        <v>1913</v>
      </c>
      <c r="D39">
        <f>East!$E$9</f>
        <v>1937</v>
      </c>
      <c r="E39">
        <f>East!$F$9</f>
        <v>1613</v>
      </c>
      <c r="F39">
        <f>East!$G$9</f>
        <v>1357</v>
      </c>
    </row>
    <row r="40" spans="1:6" hidden="1" outlineLevel="1" collapsed="1" x14ac:dyDescent="0.3">
      <c r="B40" t="s">
        <v>18</v>
      </c>
      <c r="C40">
        <f>North!$C$9</f>
        <v>1225</v>
      </c>
      <c r="D40">
        <f>North!$D$9</f>
        <v>1352</v>
      </c>
      <c r="E40">
        <f>North!$E$9</f>
        <v>1170</v>
      </c>
      <c r="F40">
        <f>North!$F$9</f>
        <v>1752</v>
      </c>
    </row>
    <row r="41" spans="1:6" hidden="1" outlineLevel="1" collapsed="1" x14ac:dyDescent="0.3">
      <c r="B41" t="s">
        <v>18</v>
      </c>
      <c r="C41">
        <f>South!$B$6</f>
        <v>1526</v>
      </c>
      <c r="D41">
        <f>South!$C$6</f>
        <v>1924</v>
      </c>
      <c r="E41">
        <f>South!$D$6</f>
        <v>1186</v>
      </c>
      <c r="F41">
        <f>South!$E$6</f>
        <v>1188</v>
      </c>
    </row>
    <row r="42" spans="1:6" hidden="1" outlineLevel="1" collapsed="1" x14ac:dyDescent="0.3">
      <c r="B42" t="s">
        <v>18</v>
      </c>
      <c r="C42">
        <f>West!$B$6</f>
        <v>1360</v>
      </c>
      <c r="D42">
        <f>West!$C$6</f>
        <v>1459</v>
      </c>
      <c r="E42">
        <f>West!$D$6</f>
        <v>1584</v>
      </c>
      <c r="F42">
        <f>West!$E$6</f>
        <v>1642</v>
      </c>
    </row>
    <row r="43" spans="1:6" collapsed="1" x14ac:dyDescent="0.3">
      <c r="A43" t="s">
        <v>5</v>
      </c>
      <c r="C43">
        <f>SUM(C39:C42)</f>
        <v>6024</v>
      </c>
      <c r="D43">
        <f>SUM(D39:D42)</f>
        <v>6672</v>
      </c>
      <c r="E43">
        <f>SUM(E39:E42)</f>
        <v>5553</v>
      </c>
      <c r="F43">
        <f>SUM(F39:F42)</f>
        <v>5939</v>
      </c>
    </row>
    <row r="44" spans="1:6" hidden="1" outlineLevel="1" x14ac:dyDescent="0.3">
      <c r="B44" t="s">
        <v>18</v>
      </c>
      <c r="C44">
        <f>East!$D$10</f>
        <v>1016</v>
      </c>
      <c r="D44">
        <f>East!$E$10</f>
        <v>1895</v>
      </c>
      <c r="E44">
        <f>East!$F$10</f>
        <v>1229</v>
      </c>
      <c r="F44">
        <f>East!$G$10</f>
        <v>1285</v>
      </c>
    </row>
    <row r="45" spans="1:6" hidden="1" outlineLevel="1" collapsed="1" x14ac:dyDescent="0.3">
      <c r="B45" t="s">
        <v>18</v>
      </c>
      <c r="C45">
        <f>North!$C$10</f>
        <v>1854</v>
      </c>
      <c r="D45">
        <f>North!$D$10</f>
        <v>1520</v>
      </c>
      <c r="E45">
        <f>North!$E$10</f>
        <v>1663</v>
      </c>
      <c r="F45">
        <f>North!$F$10</f>
        <v>1438</v>
      </c>
    </row>
    <row r="46" spans="1:6" hidden="1" outlineLevel="1" collapsed="1" x14ac:dyDescent="0.3">
      <c r="B46" t="s">
        <v>18</v>
      </c>
      <c r="C46">
        <f>South!$B$7</f>
        <v>1072</v>
      </c>
      <c r="D46">
        <f>South!$C$7</f>
        <v>1042</v>
      </c>
      <c r="E46">
        <f>South!$D$7</f>
        <v>1081</v>
      </c>
      <c r="F46">
        <f>South!$E$7</f>
        <v>1603</v>
      </c>
    </row>
    <row r="47" spans="1:6" hidden="1" outlineLevel="1" collapsed="1" x14ac:dyDescent="0.3">
      <c r="B47" t="s">
        <v>18</v>
      </c>
      <c r="C47">
        <f>West!$B$7</f>
        <v>1969</v>
      </c>
      <c r="D47">
        <f>West!$C$7</f>
        <v>1373</v>
      </c>
      <c r="E47">
        <f>West!$D$7</f>
        <v>1015</v>
      </c>
      <c r="F47">
        <f>West!$E$7</f>
        <v>1152</v>
      </c>
    </row>
    <row r="48" spans="1:6" collapsed="1" x14ac:dyDescent="0.3">
      <c r="A48" t="s">
        <v>6</v>
      </c>
      <c r="C48">
        <f>SUM(C44:C47)</f>
        <v>5911</v>
      </c>
      <c r="D48">
        <f>SUM(D44:D47)</f>
        <v>5830</v>
      </c>
      <c r="E48">
        <f>SUM(E44:E47)</f>
        <v>4988</v>
      </c>
      <c r="F48">
        <f>SUM(F44:F47)</f>
        <v>5478</v>
      </c>
    </row>
    <row r="49" spans="1:6" hidden="1" outlineLevel="1" x14ac:dyDescent="0.3">
      <c r="B49" t="s">
        <v>18</v>
      </c>
      <c r="C49">
        <f>East!$D$11</f>
        <v>1247</v>
      </c>
      <c r="D49">
        <f>East!$E$11</f>
        <v>1863</v>
      </c>
      <c r="E49">
        <f>East!$F$11</f>
        <v>1432</v>
      </c>
      <c r="F49">
        <f>East!$G$11</f>
        <v>1102</v>
      </c>
    </row>
    <row r="50" spans="1:6" hidden="1" outlineLevel="1" collapsed="1" x14ac:dyDescent="0.3">
      <c r="B50" t="s">
        <v>18</v>
      </c>
      <c r="C50">
        <f>North!$C$11</f>
        <v>1805</v>
      </c>
      <c r="D50">
        <f>North!$D$11</f>
        <v>1508</v>
      </c>
      <c r="E50">
        <f>North!$E$11</f>
        <v>1755</v>
      </c>
      <c r="F50">
        <f>North!$F$11</f>
        <v>1356</v>
      </c>
    </row>
    <row r="51" spans="1:6" hidden="1" outlineLevel="1" collapsed="1" x14ac:dyDescent="0.3">
      <c r="B51" t="s">
        <v>18</v>
      </c>
      <c r="C51">
        <f>South!$B$8</f>
        <v>1813</v>
      </c>
      <c r="D51">
        <f>South!$C$8</f>
        <v>1417</v>
      </c>
      <c r="E51">
        <f>South!$D$8</f>
        <v>1344</v>
      </c>
      <c r="F51">
        <f>South!$E$8</f>
        <v>1696</v>
      </c>
    </row>
    <row r="52" spans="1:6" hidden="1" outlineLevel="1" collapsed="1" x14ac:dyDescent="0.3">
      <c r="B52" t="s">
        <v>18</v>
      </c>
      <c r="C52">
        <f>West!$B$8</f>
        <v>1367</v>
      </c>
      <c r="D52">
        <f>West!$C$8</f>
        <v>1422</v>
      </c>
      <c r="E52">
        <f>West!$D$8</f>
        <v>1377</v>
      </c>
      <c r="F52">
        <f>West!$E$8</f>
        <v>1034</v>
      </c>
    </row>
    <row r="53" spans="1:6" collapsed="1" x14ac:dyDescent="0.3">
      <c r="A53" t="s">
        <v>7</v>
      </c>
      <c r="C53">
        <f>SUM(C49:C52)</f>
        <v>6232</v>
      </c>
      <c r="D53">
        <f>SUM(D49:D52)</f>
        <v>6210</v>
      </c>
      <c r="E53">
        <f>SUM(E49:E52)</f>
        <v>5908</v>
      </c>
      <c r="F53">
        <f>SUM(F49:F52)</f>
        <v>5188</v>
      </c>
    </row>
    <row r="54" spans="1:6" hidden="1" outlineLevel="1" x14ac:dyDescent="0.3">
      <c r="B54" t="s">
        <v>18</v>
      </c>
      <c r="C54">
        <f>East!$D$12</f>
        <v>1649</v>
      </c>
      <c r="D54">
        <f>East!$E$12</f>
        <v>1229</v>
      </c>
      <c r="E54">
        <f>East!$F$12</f>
        <v>1457</v>
      </c>
      <c r="F54">
        <f>East!$G$12</f>
        <v>1692</v>
      </c>
    </row>
    <row r="55" spans="1:6" hidden="1" outlineLevel="1" collapsed="1" x14ac:dyDescent="0.3">
      <c r="B55" t="s">
        <v>18</v>
      </c>
      <c r="C55">
        <f>North!$C$12</f>
        <v>1027</v>
      </c>
      <c r="D55">
        <f>North!$D$12</f>
        <v>1803</v>
      </c>
      <c r="E55">
        <f>North!$E$12</f>
        <v>1091</v>
      </c>
      <c r="F55">
        <f>North!$F$12</f>
        <v>1658</v>
      </c>
    </row>
    <row r="56" spans="1:6" hidden="1" outlineLevel="1" collapsed="1" x14ac:dyDescent="0.3">
      <c r="B56" t="s">
        <v>18</v>
      </c>
      <c r="C56">
        <f>South!$B$9</f>
        <v>1151</v>
      </c>
      <c r="D56">
        <f>South!$C$9</f>
        <v>1635</v>
      </c>
      <c r="E56">
        <f>South!$D$9</f>
        <v>1419</v>
      </c>
      <c r="F56">
        <f>South!$E$9</f>
        <v>1629</v>
      </c>
    </row>
    <row r="57" spans="1:6" hidden="1" outlineLevel="1" collapsed="1" x14ac:dyDescent="0.3">
      <c r="B57" t="s">
        <v>18</v>
      </c>
      <c r="C57">
        <f>West!$B$9</f>
        <v>1869</v>
      </c>
      <c r="D57">
        <f>West!$C$9</f>
        <v>1424</v>
      </c>
      <c r="E57">
        <f>West!$D$9</f>
        <v>1305</v>
      </c>
      <c r="F57">
        <f>West!$E$9</f>
        <v>1606</v>
      </c>
    </row>
    <row r="58" spans="1:6" collapsed="1" x14ac:dyDescent="0.3">
      <c r="A58" t="s">
        <v>8</v>
      </c>
      <c r="C58">
        <f>SUM(C54:C57)</f>
        <v>5696</v>
      </c>
      <c r="D58">
        <f>SUM(D54:D57)</f>
        <v>6091</v>
      </c>
      <c r="E58">
        <f>SUM(E54:E57)</f>
        <v>5272</v>
      </c>
      <c r="F58">
        <f>SUM(F54:F57)</f>
        <v>6585</v>
      </c>
    </row>
    <row r="59" spans="1:6" hidden="1" outlineLevel="1" x14ac:dyDescent="0.3">
      <c r="B59" t="s">
        <v>18</v>
      </c>
      <c r="C59">
        <f>East!$D$13</f>
        <v>1645</v>
      </c>
      <c r="D59">
        <f>East!$E$13</f>
        <v>1626</v>
      </c>
      <c r="E59">
        <f>East!$F$13</f>
        <v>1149</v>
      </c>
      <c r="F59">
        <f>East!$G$13</f>
        <v>1312</v>
      </c>
    </row>
    <row r="60" spans="1:6" hidden="1" outlineLevel="1" collapsed="1" x14ac:dyDescent="0.3">
      <c r="B60" t="s">
        <v>18</v>
      </c>
      <c r="C60">
        <f>North!$C$13</f>
        <v>1833</v>
      </c>
      <c r="D60">
        <f>North!$D$13</f>
        <v>1552</v>
      </c>
      <c r="E60">
        <f>North!$E$13</f>
        <v>1511</v>
      </c>
      <c r="F60">
        <f>North!$F$13</f>
        <v>1596</v>
      </c>
    </row>
    <row r="61" spans="1:6" hidden="1" outlineLevel="1" collapsed="1" x14ac:dyDescent="0.3">
      <c r="B61" t="s">
        <v>18</v>
      </c>
      <c r="C61">
        <f>South!$B$10</f>
        <v>1323</v>
      </c>
      <c r="D61">
        <f>South!$C$10</f>
        <v>1940</v>
      </c>
      <c r="E61">
        <f>South!$D$10</f>
        <v>1912</v>
      </c>
      <c r="F61">
        <f>South!$E$10</f>
        <v>1784</v>
      </c>
    </row>
    <row r="62" spans="1:6" hidden="1" outlineLevel="1" collapsed="1" x14ac:dyDescent="0.3">
      <c r="B62" t="s">
        <v>18</v>
      </c>
      <c r="C62">
        <f>West!$B$10</f>
        <v>1869</v>
      </c>
      <c r="D62">
        <f>West!$C$10</f>
        <v>1124</v>
      </c>
      <c r="E62">
        <f>West!$D$10</f>
        <v>1768</v>
      </c>
      <c r="F62">
        <f>West!$E$10</f>
        <v>1979</v>
      </c>
    </row>
    <row r="63" spans="1:6" collapsed="1" x14ac:dyDescent="0.3">
      <c r="A63" t="s">
        <v>9</v>
      </c>
      <c r="C63">
        <f>SUM(C59:C62)</f>
        <v>6670</v>
      </c>
      <c r="D63">
        <f>SUM(D59:D62)</f>
        <v>6242</v>
      </c>
      <c r="E63">
        <f>SUM(E59:E62)</f>
        <v>6340</v>
      </c>
      <c r="F63">
        <f>SUM(F59:F62)</f>
        <v>6671</v>
      </c>
    </row>
    <row r="64" spans="1:6" hidden="1" outlineLevel="1" x14ac:dyDescent="0.3">
      <c r="B64" t="s">
        <v>18</v>
      </c>
      <c r="C64">
        <f>East!$D$14</f>
        <v>1234</v>
      </c>
      <c r="D64">
        <f>East!$E$14</f>
        <v>1888</v>
      </c>
      <c r="E64">
        <f>East!$F$14</f>
        <v>1026</v>
      </c>
      <c r="F64">
        <f>East!$G$14</f>
        <v>1068</v>
      </c>
    </row>
    <row r="65" spans="1:6" hidden="1" outlineLevel="1" collapsed="1" x14ac:dyDescent="0.3">
      <c r="B65" t="s">
        <v>18</v>
      </c>
      <c r="C65">
        <f>North!$C$14</f>
        <v>1730</v>
      </c>
      <c r="D65">
        <f>North!$D$14</f>
        <v>1928</v>
      </c>
      <c r="E65">
        <f>North!$E$14</f>
        <v>1355</v>
      </c>
      <c r="F65">
        <f>North!$F$14</f>
        <v>1125</v>
      </c>
    </row>
    <row r="66" spans="1:6" hidden="1" outlineLevel="1" collapsed="1" x14ac:dyDescent="0.3">
      <c r="B66" t="s">
        <v>18</v>
      </c>
      <c r="C66">
        <f>South!$B$11</f>
        <v>1220</v>
      </c>
      <c r="D66">
        <f>South!$C$11</f>
        <v>1209</v>
      </c>
      <c r="E66">
        <f>South!$D$11</f>
        <v>1004</v>
      </c>
      <c r="F66">
        <f>South!$E$11</f>
        <v>1286</v>
      </c>
    </row>
    <row r="67" spans="1:6" hidden="1" outlineLevel="1" collapsed="1" x14ac:dyDescent="0.3">
      <c r="B67" t="s">
        <v>18</v>
      </c>
      <c r="C67">
        <f>West!$B$11</f>
        <v>1317</v>
      </c>
      <c r="D67">
        <f>West!$C$11</f>
        <v>1954</v>
      </c>
      <c r="E67">
        <f>West!$D$11</f>
        <v>1636</v>
      </c>
      <c r="F67">
        <f>West!$E$11</f>
        <v>1783</v>
      </c>
    </row>
    <row r="68" spans="1:6" collapsed="1" x14ac:dyDescent="0.3">
      <c r="A68" t="s">
        <v>10</v>
      </c>
      <c r="C68">
        <f>SUM(C64:C67)</f>
        <v>5501</v>
      </c>
      <c r="D68">
        <f>SUM(D64:D67)</f>
        <v>6979</v>
      </c>
      <c r="E68">
        <f>SUM(E64:E67)</f>
        <v>5021</v>
      </c>
      <c r="F68">
        <f>SUM(F64:F67)</f>
        <v>5262</v>
      </c>
    </row>
    <row r="69" spans="1:6" hidden="1" outlineLevel="1" x14ac:dyDescent="0.3">
      <c r="B69" t="s">
        <v>18</v>
      </c>
      <c r="C69">
        <f>East!$D$15</f>
        <v>1686</v>
      </c>
      <c r="D69">
        <f>East!$E$15</f>
        <v>1314</v>
      </c>
      <c r="E69">
        <f>East!$F$15</f>
        <v>1839</v>
      </c>
      <c r="F69">
        <f>East!$G$15</f>
        <v>1514</v>
      </c>
    </row>
    <row r="70" spans="1:6" hidden="1" outlineLevel="1" collapsed="1" x14ac:dyDescent="0.3">
      <c r="B70" t="s">
        <v>18</v>
      </c>
      <c r="C70">
        <f>North!$C$15</f>
        <v>1620</v>
      </c>
      <c r="D70">
        <f>North!$D$15</f>
        <v>1860</v>
      </c>
      <c r="E70">
        <f>North!$E$15</f>
        <v>1704</v>
      </c>
      <c r="F70">
        <f>North!$F$15</f>
        <v>1263</v>
      </c>
    </row>
    <row r="71" spans="1:6" hidden="1" outlineLevel="1" collapsed="1" x14ac:dyDescent="0.3">
      <c r="B71" t="s">
        <v>18</v>
      </c>
      <c r="C71">
        <f>South!$B$12</f>
        <v>1084</v>
      </c>
      <c r="D71">
        <f>South!$C$12</f>
        <v>1094</v>
      </c>
      <c r="E71">
        <f>South!$D$12</f>
        <v>1131</v>
      </c>
      <c r="F71">
        <f>South!$E$12</f>
        <v>1616</v>
      </c>
    </row>
    <row r="72" spans="1:6" hidden="1" outlineLevel="1" collapsed="1" x14ac:dyDescent="0.3">
      <c r="B72" t="s">
        <v>18</v>
      </c>
      <c r="C72">
        <f>West!$B$12</f>
        <v>1823</v>
      </c>
      <c r="D72">
        <f>West!$C$12</f>
        <v>1265</v>
      </c>
      <c r="E72">
        <f>West!$D$12</f>
        <v>1418</v>
      </c>
      <c r="F72">
        <f>West!$E$12</f>
        <v>1057</v>
      </c>
    </row>
    <row r="73" spans="1:6" collapsed="1" x14ac:dyDescent="0.3">
      <c r="A73" t="s">
        <v>11</v>
      </c>
      <c r="C73">
        <f>SUM(C69:C72)</f>
        <v>6213</v>
      </c>
      <c r="D73">
        <f>SUM(D69:D72)</f>
        <v>5533</v>
      </c>
      <c r="E73">
        <f>SUM(E69:E72)</f>
        <v>6092</v>
      </c>
      <c r="F73">
        <f>SUM(F69:F72)</f>
        <v>5450</v>
      </c>
    </row>
    <row r="74" spans="1:6" hidden="1" outlineLevel="1" x14ac:dyDescent="0.3">
      <c r="B74" t="s">
        <v>18</v>
      </c>
      <c r="C74">
        <f>East!$D$16</f>
        <v>1702</v>
      </c>
      <c r="D74">
        <f>East!$E$16</f>
        <v>1798</v>
      </c>
      <c r="E74">
        <f>East!$F$16</f>
        <v>1575</v>
      </c>
      <c r="F74">
        <f>East!$G$16</f>
        <v>1476</v>
      </c>
    </row>
    <row r="75" spans="1:6" hidden="1" outlineLevel="1" collapsed="1" x14ac:dyDescent="0.3">
      <c r="B75" t="s">
        <v>18</v>
      </c>
      <c r="C75">
        <f>North!$C$16</f>
        <v>1896</v>
      </c>
      <c r="D75">
        <f>North!$D$16</f>
        <v>1815</v>
      </c>
      <c r="E75">
        <f>North!$E$16</f>
        <v>1247</v>
      </c>
      <c r="F75">
        <f>North!$F$16</f>
        <v>1049</v>
      </c>
    </row>
    <row r="76" spans="1:6" hidden="1" outlineLevel="1" collapsed="1" x14ac:dyDescent="0.3">
      <c r="B76" t="s">
        <v>18</v>
      </c>
      <c r="C76">
        <f>South!$B$13</f>
        <v>1722</v>
      </c>
      <c r="D76">
        <f>South!$C$13</f>
        <v>1812</v>
      </c>
      <c r="E76">
        <f>South!$D$13</f>
        <v>1460</v>
      </c>
      <c r="F76">
        <f>South!$E$13</f>
        <v>1783</v>
      </c>
    </row>
    <row r="77" spans="1:6" hidden="1" outlineLevel="1" collapsed="1" x14ac:dyDescent="0.3">
      <c r="B77" t="s">
        <v>18</v>
      </c>
      <c r="C77">
        <f>West!$B$13</f>
        <v>1671</v>
      </c>
      <c r="D77">
        <f>West!$C$13</f>
        <v>1515</v>
      </c>
      <c r="E77">
        <f>West!$D$13</f>
        <v>1464</v>
      </c>
      <c r="F77">
        <f>West!$E$13</f>
        <v>1129</v>
      </c>
    </row>
    <row r="78" spans="1:6" collapsed="1" x14ac:dyDescent="0.3">
      <c r="A78" t="s">
        <v>12</v>
      </c>
      <c r="C78">
        <f>SUM(C74:C77)</f>
        <v>6991</v>
      </c>
      <c r="D78">
        <f>SUM(D74:D77)</f>
        <v>6940</v>
      </c>
      <c r="E78">
        <f>SUM(E74:E77)</f>
        <v>5746</v>
      </c>
      <c r="F78">
        <f>SUM(F74:F77)</f>
        <v>5437</v>
      </c>
    </row>
  </sheetData>
  <dataConsolidate leftLabels="1" topLabels="1" link="1">
    <dataRefs count="4">
      <dataRef ref="C4:G16" sheet="East"/>
      <dataRef ref="B4:F16" sheet="North"/>
      <dataRef ref="A1:E13" sheet="South"/>
      <dataRef ref="A1:E13" sheet="West"/>
    </dataRefs>
  </dataConsolid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9E5EF-CAF8-47DA-92F4-70FBA3711ABB}">
  <dimension ref="B4:F16"/>
  <sheetViews>
    <sheetView workbookViewId="0">
      <selection activeCell="C5" sqref="C5"/>
    </sheetView>
  </sheetViews>
  <sheetFormatPr defaultRowHeight="14.4" x14ac:dyDescent="0.3"/>
  <cols>
    <col min="1" max="2" width="12.77734375" bestFit="1" customWidth="1"/>
    <col min="3" max="4" width="9.88671875" bestFit="1" customWidth="1"/>
    <col min="5" max="5" width="10" bestFit="1" customWidth="1"/>
    <col min="6" max="6" width="10.109375" bestFit="1" customWidth="1"/>
  </cols>
  <sheetData>
    <row r="4" spans="2:6" x14ac:dyDescent="0.3">
      <c r="B4" s="1" t="s">
        <v>0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2:6" x14ac:dyDescent="0.3">
      <c r="B5" s="2" t="s">
        <v>1</v>
      </c>
      <c r="C5" s="2">
        <v>1565</v>
      </c>
      <c r="D5" s="2">
        <v>1548</v>
      </c>
      <c r="E5" s="2">
        <v>1470</v>
      </c>
      <c r="F5" s="2">
        <v>1693</v>
      </c>
    </row>
    <row r="6" spans="2:6" x14ac:dyDescent="0.3">
      <c r="B6" s="2" t="s">
        <v>2</v>
      </c>
      <c r="C6" s="2">
        <v>1135</v>
      </c>
      <c r="D6" s="2">
        <v>1984</v>
      </c>
      <c r="E6" s="2">
        <v>1352</v>
      </c>
      <c r="F6" s="2">
        <v>1770</v>
      </c>
    </row>
    <row r="7" spans="2:6" x14ac:dyDescent="0.3">
      <c r="B7" s="2" t="s">
        <v>3</v>
      </c>
      <c r="C7" s="2">
        <v>1311</v>
      </c>
      <c r="D7" s="2">
        <v>1185</v>
      </c>
      <c r="E7" s="2">
        <v>1547</v>
      </c>
      <c r="F7" s="2">
        <v>1152</v>
      </c>
    </row>
    <row r="8" spans="2:6" x14ac:dyDescent="0.3">
      <c r="B8" s="2" t="s">
        <v>4</v>
      </c>
      <c r="C8" s="2">
        <v>1897</v>
      </c>
      <c r="D8" s="2">
        <v>1625</v>
      </c>
      <c r="E8" s="2">
        <v>1866</v>
      </c>
      <c r="F8" s="2">
        <v>1739</v>
      </c>
    </row>
    <row r="9" spans="2:6" x14ac:dyDescent="0.3">
      <c r="B9" s="2" t="s">
        <v>5</v>
      </c>
      <c r="C9" s="2">
        <v>1225</v>
      </c>
      <c r="D9" s="2">
        <v>1352</v>
      </c>
      <c r="E9" s="2">
        <v>1170</v>
      </c>
      <c r="F9" s="2">
        <v>1752</v>
      </c>
    </row>
    <row r="10" spans="2:6" x14ac:dyDescent="0.3">
      <c r="B10" s="2" t="s">
        <v>6</v>
      </c>
      <c r="C10" s="2">
        <v>1854</v>
      </c>
      <c r="D10" s="2">
        <v>1520</v>
      </c>
      <c r="E10" s="2">
        <v>1663</v>
      </c>
      <c r="F10" s="2">
        <v>1438</v>
      </c>
    </row>
    <row r="11" spans="2:6" x14ac:dyDescent="0.3">
      <c r="B11" s="2" t="s">
        <v>7</v>
      </c>
      <c r="C11" s="2">
        <v>1805</v>
      </c>
      <c r="D11" s="2">
        <v>1508</v>
      </c>
      <c r="E11" s="2">
        <v>1755</v>
      </c>
      <c r="F11" s="2">
        <v>1356</v>
      </c>
    </row>
    <row r="12" spans="2:6" x14ac:dyDescent="0.3">
      <c r="B12" s="2" t="s">
        <v>8</v>
      </c>
      <c r="C12" s="2">
        <v>1027</v>
      </c>
      <c r="D12" s="2">
        <v>1803</v>
      </c>
      <c r="E12" s="2">
        <v>1091</v>
      </c>
      <c r="F12" s="2">
        <v>1658</v>
      </c>
    </row>
    <row r="13" spans="2:6" x14ac:dyDescent="0.3">
      <c r="B13" s="2" t="s">
        <v>9</v>
      </c>
      <c r="C13" s="2">
        <v>1833</v>
      </c>
      <c r="D13" s="2">
        <v>1552</v>
      </c>
      <c r="E13" s="2">
        <v>1511</v>
      </c>
      <c r="F13" s="2">
        <v>1596</v>
      </c>
    </row>
    <row r="14" spans="2:6" x14ac:dyDescent="0.3">
      <c r="B14" s="2" t="s">
        <v>10</v>
      </c>
      <c r="C14" s="2">
        <v>1730</v>
      </c>
      <c r="D14" s="2">
        <v>1928</v>
      </c>
      <c r="E14" s="2">
        <v>1355</v>
      </c>
      <c r="F14" s="2">
        <v>1125</v>
      </c>
    </row>
    <row r="15" spans="2:6" x14ac:dyDescent="0.3">
      <c r="B15" s="2" t="s">
        <v>11</v>
      </c>
      <c r="C15" s="2">
        <v>1620</v>
      </c>
      <c r="D15" s="2">
        <v>1860</v>
      </c>
      <c r="E15" s="2">
        <v>1704</v>
      </c>
      <c r="F15" s="2">
        <v>1263</v>
      </c>
    </row>
    <row r="16" spans="2:6" x14ac:dyDescent="0.3">
      <c r="B16" s="2" t="s">
        <v>12</v>
      </c>
      <c r="C16" s="2">
        <v>1896</v>
      </c>
      <c r="D16" s="2">
        <v>1815</v>
      </c>
      <c r="E16" s="2">
        <v>1247</v>
      </c>
      <c r="F16" s="2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8612-08B2-4F8F-9C36-5C454DF0BEBC}">
  <dimension ref="A1:E13"/>
  <sheetViews>
    <sheetView workbookViewId="0">
      <selection activeCell="G6" sqref="G6"/>
    </sheetView>
  </sheetViews>
  <sheetFormatPr defaultRowHeight="14.4" x14ac:dyDescent="0.3"/>
  <cols>
    <col min="1" max="1" width="12.77734375" bestFit="1" customWidth="1"/>
    <col min="2" max="3" width="9.88671875" bestFit="1" customWidth="1"/>
    <col min="4" max="4" width="10" bestFit="1" customWidth="1"/>
    <col min="5" max="5" width="10.109375" bestFit="1" customWidth="1"/>
  </cols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2" t="s">
        <v>1</v>
      </c>
      <c r="B2" s="2">
        <v>1409</v>
      </c>
      <c r="C2" s="2">
        <v>1517</v>
      </c>
      <c r="D2" s="2">
        <v>1745</v>
      </c>
      <c r="E2" s="2">
        <v>1851</v>
      </c>
    </row>
    <row r="3" spans="1:5" x14ac:dyDescent="0.3">
      <c r="A3" s="2" t="s">
        <v>2</v>
      </c>
      <c r="B3" s="2">
        <v>1174</v>
      </c>
      <c r="C3" s="2">
        <v>1245</v>
      </c>
      <c r="D3" s="2">
        <v>1614</v>
      </c>
      <c r="E3" s="2">
        <v>1537</v>
      </c>
    </row>
    <row r="4" spans="1:5" x14ac:dyDescent="0.3">
      <c r="A4" s="2" t="s">
        <v>3</v>
      </c>
      <c r="B4" s="2">
        <v>1770</v>
      </c>
      <c r="C4" s="2">
        <v>1046</v>
      </c>
      <c r="D4" s="2">
        <v>1703</v>
      </c>
      <c r="E4" s="2">
        <v>1980</v>
      </c>
    </row>
    <row r="5" spans="1:5" x14ac:dyDescent="0.3">
      <c r="A5" s="2" t="s">
        <v>4</v>
      </c>
      <c r="B5" s="2">
        <v>1937</v>
      </c>
      <c r="C5" s="2">
        <v>1326</v>
      </c>
      <c r="D5" s="2">
        <v>1303</v>
      </c>
      <c r="E5" s="2">
        <v>1252</v>
      </c>
    </row>
    <row r="6" spans="1:5" x14ac:dyDescent="0.3">
      <c r="A6" s="2" t="s">
        <v>5</v>
      </c>
      <c r="B6" s="2">
        <v>1526</v>
      </c>
      <c r="C6" s="2">
        <v>1924</v>
      </c>
      <c r="D6" s="2">
        <v>1186</v>
      </c>
      <c r="E6" s="2">
        <v>1188</v>
      </c>
    </row>
    <row r="7" spans="1:5" x14ac:dyDescent="0.3">
      <c r="A7" s="2" t="s">
        <v>6</v>
      </c>
      <c r="B7" s="2">
        <v>1072</v>
      </c>
      <c r="C7" s="2">
        <v>1042</v>
      </c>
      <c r="D7" s="2">
        <v>1081</v>
      </c>
      <c r="E7" s="2">
        <v>1603</v>
      </c>
    </row>
    <row r="8" spans="1:5" x14ac:dyDescent="0.3">
      <c r="A8" s="2" t="s">
        <v>7</v>
      </c>
      <c r="B8" s="2">
        <v>1813</v>
      </c>
      <c r="C8" s="2">
        <v>1417</v>
      </c>
      <c r="D8" s="2">
        <v>1344</v>
      </c>
      <c r="E8" s="2">
        <v>1696</v>
      </c>
    </row>
    <row r="9" spans="1:5" x14ac:dyDescent="0.3">
      <c r="A9" s="2" t="s">
        <v>8</v>
      </c>
      <c r="B9" s="2">
        <v>1151</v>
      </c>
      <c r="C9" s="2">
        <v>1635</v>
      </c>
      <c r="D9" s="2">
        <v>1419</v>
      </c>
      <c r="E9" s="2">
        <v>1629</v>
      </c>
    </row>
    <row r="10" spans="1:5" x14ac:dyDescent="0.3">
      <c r="A10" s="2" t="s">
        <v>9</v>
      </c>
      <c r="B10" s="2">
        <v>1323</v>
      </c>
      <c r="C10" s="2">
        <v>1940</v>
      </c>
      <c r="D10" s="2">
        <v>1912</v>
      </c>
      <c r="E10" s="2">
        <v>1784</v>
      </c>
    </row>
    <row r="11" spans="1:5" x14ac:dyDescent="0.3">
      <c r="A11" s="2" t="s">
        <v>10</v>
      </c>
      <c r="B11" s="2">
        <v>1220</v>
      </c>
      <c r="C11" s="2">
        <v>1209</v>
      </c>
      <c r="D11" s="2">
        <v>1004</v>
      </c>
      <c r="E11" s="2">
        <v>1286</v>
      </c>
    </row>
    <row r="12" spans="1:5" x14ac:dyDescent="0.3">
      <c r="A12" s="2" t="s">
        <v>11</v>
      </c>
      <c r="B12" s="2">
        <v>1084</v>
      </c>
      <c r="C12" s="2">
        <v>1094</v>
      </c>
      <c r="D12" s="2">
        <v>1131</v>
      </c>
      <c r="E12" s="2">
        <v>1616</v>
      </c>
    </row>
    <row r="13" spans="1:5" x14ac:dyDescent="0.3">
      <c r="A13" s="2" t="s">
        <v>12</v>
      </c>
      <c r="B13" s="2">
        <v>1722</v>
      </c>
      <c r="C13" s="2">
        <v>1812</v>
      </c>
      <c r="D13" s="2">
        <v>1460</v>
      </c>
      <c r="E13" s="2">
        <v>1783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F7DC-6E60-4CEC-A439-83BA2B43DAB8}">
  <dimension ref="C4:G16"/>
  <sheetViews>
    <sheetView workbookViewId="0">
      <selection activeCell="I6" sqref="I6"/>
    </sheetView>
  </sheetViews>
  <sheetFormatPr defaultRowHeight="14.4" x14ac:dyDescent="0.3"/>
  <cols>
    <col min="3" max="3" width="12.77734375" bestFit="1" customWidth="1"/>
    <col min="4" max="5" width="9.88671875" bestFit="1" customWidth="1"/>
    <col min="6" max="6" width="10" bestFit="1" customWidth="1"/>
    <col min="7" max="7" width="10.109375" bestFit="1" customWidth="1"/>
  </cols>
  <sheetData>
    <row r="4" spans="3:7" x14ac:dyDescent="0.3">
      <c r="C4" s="1" t="s">
        <v>0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3:7" x14ac:dyDescent="0.3">
      <c r="C5" s="2" t="s">
        <v>1</v>
      </c>
      <c r="D5" s="2">
        <v>1860</v>
      </c>
      <c r="E5" s="2">
        <v>1202</v>
      </c>
      <c r="F5" s="2">
        <v>1371</v>
      </c>
      <c r="G5" s="2">
        <v>1973</v>
      </c>
    </row>
    <row r="6" spans="3:7" x14ac:dyDescent="0.3">
      <c r="C6" s="2" t="s">
        <v>2</v>
      </c>
      <c r="D6" s="2">
        <v>1191</v>
      </c>
      <c r="E6" s="2">
        <v>1811</v>
      </c>
      <c r="F6" s="2">
        <v>1618</v>
      </c>
      <c r="G6" s="2">
        <v>1289</v>
      </c>
    </row>
    <row r="7" spans="3:7" x14ac:dyDescent="0.3">
      <c r="C7" s="2" t="s">
        <v>3</v>
      </c>
      <c r="D7" s="2">
        <v>1890</v>
      </c>
      <c r="E7" s="2">
        <v>1724</v>
      </c>
      <c r="F7" s="2">
        <v>1088</v>
      </c>
      <c r="G7" s="2">
        <v>1880</v>
      </c>
    </row>
    <row r="8" spans="3:7" x14ac:dyDescent="0.3">
      <c r="C8" s="2" t="s">
        <v>4</v>
      </c>
      <c r="D8" s="2">
        <v>1804</v>
      </c>
      <c r="E8" s="2">
        <v>1732</v>
      </c>
      <c r="F8" s="2">
        <v>1964</v>
      </c>
      <c r="G8" s="2">
        <v>1541</v>
      </c>
    </row>
    <row r="9" spans="3:7" x14ac:dyDescent="0.3">
      <c r="C9" s="2" t="s">
        <v>5</v>
      </c>
      <c r="D9" s="2">
        <v>1913</v>
      </c>
      <c r="E9" s="2">
        <v>1937</v>
      </c>
      <c r="F9" s="2">
        <v>1613</v>
      </c>
      <c r="G9" s="2">
        <v>1357</v>
      </c>
    </row>
    <row r="10" spans="3:7" x14ac:dyDescent="0.3">
      <c r="C10" s="2" t="s">
        <v>6</v>
      </c>
      <c r="D10" s="2">
        <v>1016</v>
      </c>
      <c r="E10" s="2">
        <v>1895</v>
      </c>
      <c r="F10" s="2">
        <v>1229</v>
      </c>
      <c r="G10" s="2">
        <v>1285</v>
      </c>
    </row>
    <row r="11" spans="3:7" x14ac:dyDescent="0.3">
      <c r="C11" s="2" t="s">
        <v>7</v>
      </c>
      <c r="D11" s="2">
        <v>1247</v>
      </c>
      <c r="E11" s="2">
        <v>1863</v>
      </c>
      <c r="F11" s="2">
        <v>1432</v>
      </c>
      <c r="G11" s="2">
        <v>1102</v>
      </c>
    </row>
    <row r="12" spans="3:7" x14ac:dyDescent="0.3">
      <c r="C12" s="2" t="s">
        <v>8</v>
      </c>
      <c r="D12" s="2">
        <v>1649</v>
      </c>
      <c r="E12" s="2">
        <v>1229</v>
      </c>
      <c r="F12" s="2">
        <v>1457</v>
      </c>
      <c r="G12" s="2">
        <v>1692</v>
      </c>
    </row>
    <row r="13" spans="3:7" x14ac:dyDescent="0.3">
      <c r="C13" s="2" t="s">
        <v>9</v>
      </c>
      <c r="D13" s="2">
        <v>1645</v>
      </c>
      <c r="E13" s="2">
        <v>1626</v>
      </c>
      <c r="F13" s="2">
        <v>1149</v>
      </c>
      <c r="G13" s="2">
        <v>1312</v>
      </c>
    </row>
    <row r="14" spans="3:7" x14ac:dyDescent="0.3">
      <c r="C14" s="2" t="s">
        <v>10</v>
      </c>
      <c r="D14" s="2">
        <v>1234</v>
      </c>
      <c r="E14" s="2">
        <v>1888</v>
      </c>
      <c r="F14" s="2">
        <v>1026</v>
      </c>
      <c r="G14" s="2">
        <v>1068</v>
      </c>
    </row>
    <row r="15" spans="3:7" x14ac:dyDescent="0.3">
      <c r="C15" s="2" t="s">
        <v>11</v>
      </c>
      <c r="D15" s="2">
        <v>1686</v>
      </c>
      <c r="E15" s="2">
        <v>1314</v>
      </c>
      <c r="F15" s="2">
        <v>1839</v>
      </c>
      <c r="G15" s="2">
        <v>1514</v>
      </c>
    </row>
    <row r="16" spans="3:7" x14ac:dyDescent="0.3">
      <c r="C16" s="2" t="s">
        <v>12</v>
      </c>
      <c r="D16" s="2">
        <v>1702</v>
      </c>
      <c r="E16" s="2">
        <v>1798</v>
      </c>
      <c r="F16" s="2">
        <v>1575</v>
      </c>
      <c r="G16" s="2">
        <v>1476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A71E-6E23-4C04-9C32-DBB438F75B99}">
  <dimension ref="A1:E13"/>
  <sheetViews>
    <sheetView workbookViewId="0">
      <selection activeCell="G8" sqref="G8"/>
    </sheetView>
  </sheetViews>
  <sheetFormatPr defaultRowHeight="14.4" x14ac:dyDescent="0.3"/>
  <cols>
    <col min="1" max="1" width="12.77734375" bestFit="1" customWidth="1"/>
    <col min="2" max="3" width="9.88671875" bestFit="1" customWidth="1"/>
    <col min="4" max="4" width="10" bestFit="1" customWidth="1"/>
    <col min="5" max="5" width="10.109375" bestFit="1" customWidth="1"/>
  </cols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2" t="s">
        <v>1</v>
      </c>
      <c r="B2" s="2">
        <v>1417</v>
      </c>
      <c r="C2" s="2">
        <v>1971</v>
      </c>
      <c r="D2" s="2">
        <v>1891</v>
      </c>
      <c r="E2" s="2">
        <v>1291</v>
      </c>
    </row>
    <row r="3" spans="1:5" x14ac:dyDescent="0.3">
      <c r="A3" s="2" t="s">
        <v>2</v>
      </c>
      <c r="B3" s="2">
        <v>1968</v>
      </c>
      <c r="C3" s="2">
        <v>1984</v>
      </c>
      <c r="D3" s="2">
        <v>1872</v>
      </c>
      <c r="E3" s="2">
        <v>1767</v>
      </c>
    </row>
    <row r="4" spans="1:5" x14ac:dyDescent="0.3">
      <c r="A4" s="2" t="s">
        <v>3</v>
      </c>
      <c r="B4" s="2">
        <v>1927</v>
      </c>
      <c r="C4" s="2">
        <v>1508</v>
      </c>
      <c r="D4" s="2">
        <v>1871</v>
      </c>
      <c r="E4" s="2">
        <v>1863</v>
      </c>
    </row>
    <row r="5" spans="1:5" x14ac:dyDescent="0.3">
      <c r="A5" s="2" t="s">
        <v>4</v>
      </c>
      <c r="B5" s="2">
        <v>1473</v>
      </c>
      <c r="C5" s="2">
        <v>1220</v>
      </c>
      <c r="D5" s="2">
        <v>1065</v>
      </c>
      <c r="E5" s="2">
        <v>1429</v>
      </c>
    </row>
    <row r="6" spans="1:5" x14ac:dyDescent="0.3">
      <c r="A6" s="2" t="s">
        <v>5</v>
      </c>
      <c r="B6" s="2">
        <v>1360</v>
      </c>
      <c r="C6" s="2">
        <v>1459</v>
      </c>
      <c r="D6" s="2">
        <v>1584</v>
      </c>
      <c r="E6" s="2">
        <v>1642</v>
      </c>
    </row>
    <row r="7" spans="1:5" x14ac:dyDescent="0.3">
      <c r="A7" s="2" t="s">
        <v>6</v>
      </c>
      <c r="B7" s="2">
        <v>1969</v>
      </c>
      <c r="C7" s="2">
        <v>1373</v>
      </c>
      <c r="D7" s="2">
        <v>1015</v>
      </c>
      <c r="E7" s="2">
        <v>1152</v>
      </c>
    </row>
    <row r="8" spans="1:5" x14ac:dyDescent="0.3">
      <c r="A8" s="2" t="s">
        <v>7</v>
      </c>
      <c r="B8" s="2">
        <v>1367</v>
      </c>
      <c r="C8" s="2">
        <v>1422</v>
      </c>
      <c r="D8" s="2">
        <v>1377</v>
      </c>
      <c r="E8" s="2">
        <v>1034</v>
      </c>
    </row>
    <row r="9" spans="1:5" x14ac:dyDescent="0.3">
      <c r="A9" s="2" t="s">
        <v>8</v>
      </c>
      <c r="B9" s="2">
        <v>1869</v>
      </c>
      <c r="C9" s="2">
        <v>1424</v>
      </c>
      <c r="D9" s="2">
        <v>1305</v>
      </c>
      <c r="E9" s="2">
        <v>1606</v>
      </c>
    </row>
    <row r="10" spans="1:5" x14ac:dyDescent="0.3">
      <c r="A10" s="2" t="s">
        <v>9</v>
      </c>
      <c r="B10" s="2">
        <v>1869</v>
      </c>
      <c r="C10" s="2">
        <v>1124</v>
      </c>
      <c r="D10" s="2">
        <v>1768</v>
      </c>
      <c r="E10" s="2">
        <v>1979</v>
      </c>
    </row>
    <row r="11" spans="1:5" x14ac:dyDescent="0.3">
      <c r="A11" s="2" t="s">
        <v>10</v>
      </c>
      <c r="B11" s="2">
        <v>1317</v>
      </c>
      <c r="C11" s="2">
        <v>1954</v>
      </c>
      <c r="D11" s="2">
        <v>1636</v>
      </c>
      <c r="E11" s="2">
        <v>1783</v>
      </c>
    </row>
    <row r="12" spans="1:5" x14ac:dyDescent="0.3">
      <c r="A12" s="2" t="s">
        <v>11</v>
      </c>
      <c r="B12" s="2">
        <v>1823</v>
      </c>
      <c r="C12" s="2">
        <v>1265</v>
      </c>
      <c r="D12" s="2">
        <v>1418</v>
      </c>
      <c r="E12" s="2">
        <v>1057</v>
      </c>
    </row>
    <row r="13" spans="1:5" x14ac:dyDescent="0.3">
      <c r="A13" s="2" t="s">
        <v>12</v>
      </c>
      <c r="B13" s="2">
        <v>1671</v>
      </c>
      <c r="C13" s="2">
        <v>1515</v>
      </c>
      <c r="D13" s="2">
        <v>1464</v>
      </c>
      <c r="E13" s="2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DataConsolidation</vt:lpstr>
      <vt:lpstr>North</vt:lpstr>
      <vt:lpstr>South</vt:lpstr>
      <vt:lpstr>East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Ghade</dc:creator>
  <cp:lastModifiedBy>Aditya Thorat</cp:lastModifiedBy>
  <dcterms:created xsi:type="dcterms:W3CDTF">2026-07-17T16:18:55Z</dcterms:created>
  <dcterms:modified xsi:type="dcterms:W3CDTF">2026-07-18T03:05:07Z</dcterms:modified>
</cp:coreProperties>
</file>